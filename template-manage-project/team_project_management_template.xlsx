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Đường link quan trọng" sheetId="2" r:id="rId6"/>
    <sheet state="visible" name="Thành viên nhóm" sheetId="3" r:id="rId7"/>
    <sheet state="visible" name="Danh sách User Story" sheetId="4" r:id="rId8"/>
    <sheet state="visible" name="Lộ trình" sheetId="5" r:id="rId9"/>
    <sheet state="visible" name="Backlog" sheetId="6" r:id="rId10"/>
    <sheet state="visible" name="Đặc tả tính năng" sheetId="7" r:id="rId11"/>
    <sheet state="visible" name="Theo dõi lỗi" sheetId="8" r:id="rId12"/>
    <sheet state="visible" name="Tài liệu quan trọng" sheetId="9" r:id="rId13"/>
    <sheet state="visible" name="Hướng dẫn sử dụng" sheetId="10" r:id="rId14"/>
  </sheets>
  <definedNames/>
  <calcPr/>
</workbook>
</file>

<file path=xl/sharedStrings.xml><?xml version="1.0" encoding="utf-8"?>
<sst xmlns="http://schemas.openxmlformats.org/spreadsheetml/2006/main" count="773" uniqueCount="511">
  <si>
    <t>HỒ SƠ QUẢN LÝ DỰ ÁN</t>
  </si>
  <si>
    <t>Được cập nhật liên tục bởi Trưởng nhóm — Nguồn tin cậy duy nhất về tình hình dự án</t>
  </si>
  <si>
    <t>Tình hình hiện tại</t>
  </si>
  <si>
    <t>[Chọn]</t>
  </si>
  <si>
    <t>Tên dự án</t>
  </si>
  <si>
    <t>[Tên sản phẩm hoặc dự án]</t>
  </si>
  <si>
    <t>Nhóm</t>
  </si>
  <si>
    <t>[Alpha / Beta / Gamma / Delta]</t>
  </si>
  <si>
    <t>Ngày bắt đầu</t>
  </si>
  <si>
    <t>[DD/MM/YYYY]</t>
  </si>
  <si>
    <t>Ngày kết thúc dự kiến</t>
  </si>
  <si>
    <t>Trưởng nhóm</t>
  </si>
  <si>
    <t>[Họ tên Trưởng nhóm]</t>
  </si>
  <si>
    <t>Mentor phụ trách</t>
  </si>
  <si>
    <t>[Họ tên Mentor]</t>
  </si>
  <si>
    <t>Đối tác sử dụng (Stakeholder)</t>
  </si>
  <si>
    <t>[Tên đơn vị và người liên hệ chính]</t>
  </si>
  <si>
    <t>Kho lưu mã nguồn (GitHub)</t>
  </si>
  <si>
    <t>[Dán link GitHub vào đây]</t>
  </si>
  <si>
    <t>Địa chỉ sản phẩm (Live URL)</t>
  </si>
  <si>
    <t>[Dán link sản phẩm đã triển khai]</t>
  </si>
  <si>
    <t>Mục tiêu dự án</t>
  </si>
  <si>
    <t>[Mô tả ngắn gọn mục tiêu trong 6 tuần, kèm chỉ số đo lường]</t>
  </si>
  <si>
    <t>TỔNG HỢP TIẾN ĐỘ THEO SPRINT</t>
  </si>
  <si>
    <t>Sprint</t>
  </si>
  <si>
    <t>Giai đoạn</t>
  </si>
  <si>
    <t>Từ ngày</t>
  </si>
  <si>
    <t>Đến ngày</t>
  </si>
  <si>
    <t>Tổng số việc</t>
  </si>
  <si>
    <t>Đã xong</t>
  </si>
  <si>
    <t>Đang làm</t>
  </si>
  <si>
    <t>Trạng thái</t>
  </si>
  <si>
    <t>Sprint 1</t>
  </si>
  <si>
    <t>Khởi động và Thiết kế</t>
  </si>
  <si>
    <t>Chưa bắt đầu</t>
  </si>
  <si>
    <t>Sprint 2</t>
  </si>
  <si>
    <t>Phát triển vòng 1</t>
  </si>
  <si>
    <t>Sprint 3</t>
  </si>
  <si>
    <t>Phát triển vòng 2 và Sửa lỗi</t>
  </si>
  <si>
    <t>Sprint 4</t>
  </si>
  <si>
    <t>Hoàn thiện và Bàn giao</t>
  </si>
  <si>
    <t>CHỈ SỐ THEO DÕI CHÍNH</t>
  </si>
  <si>
    <t>Tổng số User Story</t>
  </si>
  <si>
    <t>câu</t>
  </si>
  <si>
    <t>Tính năng đã hoàn thành</t>
  </si>
  <si>
    <t>Lỗi đang mở</t>
  </si>
  <si>
    <t>Nghiêm trọng / Cao / Trung bình / Thấp</t>
  </si>
  <si>
    <t>Số lần gặp đối tác</t>
  </si>
  <si>
    <t>[Điền số]</t>
  </si>
  <si>
    <t>lần</t>
  </si>
  <si>
    <t>Mức hài lòng (Demo)</t>
  </si>
  <si>
    <t>[Điền điểm]</t>
  </si>
  <si>
    <t>trên 10</t>
  </si>
  <si>
    <t>Tình trạng triển khai</t>
  </si>
  <si>
    <t>[Local / Staging / Production]</t>
  </si>
  <si>
    <t>TẬP HỢP ĐƯỜNG LINK QUAN TRỌNG</t>
  </si>
  <si>
    <t>Lưu mọi đường link liên quan đến dự án — Cập nhật ngay khi có link mới</t>
  </si>
  <si>
    <t>STT</t>
  </si>
  <si>
    <t>Phân loại</t>
  </si>
  <si>
    <t>Nội dung / Mô tả</t>
  </si>
  <si>
    <t>Địa chỉ (URL)</t>
  </si>
  <si>
    <t>Người quản lý</t>
  </si>
  <si>
    <t>Ghi chú</t>
  </si>
  <si>
    <t>Mã nguồn và Triển khai</t>
  </si>
  <si>
    <t>Kho lưu mã nguồn (GitHub Repository)</t>
  </si>
  <si>
    <t>[Dán link vào đây]</t>
  </si>
  <si>
    <t>[Họ tên người quản lý]</t>
  </si>
  <si>
    <t>Địa chỉ sản phẩm (Production)</t>
  </si>
  <si>
    <t>[Họ tên]</t>
  </si>
  <si>
    <t>Địa chỉ thử nghiệm (Staging)</t>
  </si>
  <si>
    <t>Quy trình tự động (CI/CD Pipeline)</t>
  </si>
  <si>
    <t>GitHub Actions, v.v.</t>
  </si>
  <si>
    <t>Trang giám sát hệ thống (Monitoring)</t>
  </si>
  <si>
    <t>Sentry, Langfuse, v.v.</t>
  </si>
  <si>
    <t>Tài liệu thiết kế</t>
  </si>
  <si>
    <t>Sơ đồ kiến trúc hệ thống</t>
  </si>
  <si>
    <t>Draw.io, Figma, v.v.</t>
  </si>
  <si>
    <t>Thiết kế giao diện (UI/UX)</t>
  </si>
  <si>
    <t>Figma, v.v.</t>
  </si>
  <si>
    <t>Tài liệu API</t>
  </si>
  <si>
    <t>Swagger, Postman, v.v.</t>
  </si>
  <si>
    <t>Sơ đồ cơ sở dữ liệu</t>
  </si>
  <si>
    <t>Liên lạc và Hợp tác</t>
  </si>
  <si>
    <t>Kênh Discord nhóm</t>
  </si>
  <si>
    <t>Kênh họp trực tuyến (Teams/Zoom)</t>
  </si>
  <si>
    <t>Ổ đĩa dùng chung (Google Drive)</t>
  </si>
  <si>
    <t>Đối tác (Stakeholder)</t>
  </si>
  <si>
    <t>Biên bản họp với đối tác</t>
  </si>
  <si>
    <t>Google Doc, Notion, v.v.</t>
  </si>
  <si>
    <t>Báo cáo phản hồi từ đối tác</t>
  </si>
  <si>
    <t>DANH SÁCH THÀNH VIÊN NHÓM</t>
  </si>
  <si>
    <t>Thông tin thành viên và phân vai — Cập nhật khi có thay đổi nhân sự</t>
  </si>
  <si>
    <t>Họ và tên</t>
  </si>
  <si>
    <t>Vai trò chính</t>
  </si>
  <si>
    <t>Vai trò phụ</t>
  </si>
  <si>
    <t>Email</t>
  </si>
  <si>
    <t>Discord</t>
  </si>
  <si>
    <t>GitHub</t>
  </si>
  <si>
    <t>Cam kết (giờ/tuần)</t>
  </si>
  <si>
    <t>[Họ tên thành viên]</t>
  </si>
  <si>
    <t>[Vai trò, ví dụ: Backend]</t>
  </si>
  <si>
    <t>[Vai trò, ví dụ: Frontend]</t>
  </si>
  <si>
    <t>[Vai trò, ví dụ: AI/Khác]</t>
  </si>
  <si>
    <t>BẢNG THAM KHẢO PHÂN VAI</t>
  </si>
  <si>
    <t>Vai trò</t>
  </si>
  <si>
    <t>Trách nhiệm chính</t>
  </si>
  <si>
    <t>Kỹ năng cần có</t>
  </si>
  <si>
    <t>Công việc cụ thể trong giai đoạn RA</t>
  </si>
  <si>
    <t>Trưởng nhóm (Team Lead)</t>
  </si>
  <si>
    <t>Điều phối toàn bộ dự án, báo cáo mentor, chốt quyết định</t>
  </si>
  <si>
    <t>Quản lý, giao tiếp, kỹ thuật</t>
  </si>
  <si>
    <t>Phân việc, review code, báo cáo, gặp đối tác</t>
  </si>
  <si>
    <t>Lập trình Backend</t>
  </si>
  <si>
    <t>Phát triển API, cơ sở dữ liệu, logic server, xác thực người dùng</t>
  </si>
  <si>
    <t>Node.js / Python / Java, SQL/NoSQL</t>
  </si>
  <si>
    <t>Xây dựng API, triển khai server, viết test</t>
  </si>
  <si>
    <t>Lập trình Frontend</t>
  </si>
  <si>
    <t>Phát triển giao diện, trải nghiệm người dùng, tương tác</t>
  </si>
  <si>
    <t>React / Vue / Flutter, CSS, HTML</t>
  </si>
  <si>
    <t>Xây dựng giao diện, tích hợp API, kiểm thử</t>
  </si>
  <si>
    <t>Kỹ sư AI</t>
  </si>
  <si>
    <t>Mô hình AI, prompt engineering, pipeline AI, RAG</t>
  </si>
  <si>
    <t>Python, LLM APIs, embedding, vector DB</t>
  </si>
  <si>
    <t>Xây dựng tính năng AI, tối ưu mô hình, đánh giá</t>
  </si>
  <si>
    <t>Xử lý dữ liệu / Knowledge Base</t>
  </si>
  <si>
    <t>Thu thập, xử lý dữ liệu, xây dựng cơ sở tri thức</t>
  </si>
  <si>
    <t>Python, xử lý dữ liệu, vector DB</t>
  </si>
  <si>
    <t>Chuẩn bị dữ liệu, xây dựng KB, kiểm thử</t>
  </si>
  <si>
    <t>Kiểm thử / Đảm bảo chất lượng</t>
  </si>
  <si>
    <t>Kiểm thử sản phẩm, báo cáo lỗi, viết tài liệu</t>
  </si>
  <si>
    <t>Công cụ test, viết tài liệu, tỉ mỉ</t>
  </si>
  <si>
    <t>Viết test case, báo cáo lỗi, hướng dẫn sử dụng</t>
  </si>
  <si>
    <t>DANH SÁCH USER STORY / USE CASE</t>
  </si>
  <si>
    <t>Mọi tình huống sử dụng cần thực hiện — Mỗi câu chuyện có mã riêng để liên kết với Backlog</t>
  </si>
  <si>
    <t>Mã</t>
  </si>
  <si>
    <t>Tên câu chuyện sử dụng</t>
  </si>
  <si>
    <t>Mô tả ngắn</t>
  </si>
  <si>
    <t>Với vai trò</t>
  </si>
  <si>
    <t>Tôi muốn</t>
  </si>
  <si>
    <t>Để đạt được</t>
  </si>
  <si>
    <t>Mức ưu tiên</t>
  </si>
  <si>
    <t>Sprint dự kiến</t>
  </si>
  <si>
    <t>Xem đặc tả</t>
  </si>
  <si>
    <t>US-001</t>
  </si>
  <si>
    <t>[Tên câu chuyện, ví dụ: Hỏi đáp tuyển sinh]</t>
  </si>
  <si>
    <t>[Mô tả ngắn gọn]</t>
  </si>
  <si>
    <t>[Vai trò người dùng]</t>
  </si>
  <si>
    <t>[Chức năng muốn có]</t>
  </si>
  <si>
    <t>[Lợi ích đạt được]</t>
  </si>
  <si>
    <t>Bắt buộc</t>
  </si>
  <si>
    <t>Chưa làm</t>
  </si>
  <si>
    <t>US-002</t>
  </si>
  <si>
    <t>US-003</t>
  </si>
  <si>
    <t>US-004</t>
  </si>
  <si>
    <t>US-005</t>
  </si>
  <si>
    <t>US-006</t>
  </si>
  <si>
    <t>US-007</t>
  </si>
  <si>
    <t>US-008</t>
  </si>
  <si>
    <t>US-009</t>
  </si>
  <si>
    <t>US-010</t>
  </si>
  <si>
    <t>US-011</t>
  </si>
  <si>
    <t>US-012</t>
  </si>
  <si>
    <t>US-013</t>
  </si>
  <si>
    <t>US-014</t>
  </si>
  <si>
    <t>US-015</t>
  </si>
  <si>
    <t>US-016</t>
  </si>
  <si>
    <t>US-017</t>
  </si>
  <si>
    <t>US-018</t>
  </si>
  <si>
    <t>US-019</t>
  </si>
  <si>
    <t>US-020</t>
  </si>
  <si>
    <t>US-021</t>
  </si>
  <si>
    <t>US-022</t>
  </si>
  <si>
    <t>US-023</t>
  </si>
  <si>
    <t>US-024</t>
  </si>
  <si>
    <t>US-025</t>
  </si>
  <si>
    <t>US-026</t>
  </si>
  <si>
    <t>US-027</t>
  </si>
  <si>
    <t>US-028</t>
  </si>
  <si>
    <t>THANG MỨC ƯU TIÊN</t>
  </si>
  <si>
    <t>Sản phẩm không hoạt động nếu thiếu — Phải hoàn thành</t>
  </si>
  <si>
    <t>Nên có</t>
  </si>
  <si>
    <t>Tăng giá trị đáng kể nhưng không ảnh hưởng đến hoạt động cốt lõi</t>
  </si>
  <si>
    <t>Có thì tốt</t>
  </si>
  <si>
    <t>Làm nếu còn thời gian — Không ảnh hưởng nếu bỏ qua</t>
  </si>
  <si>
    <t>Không làm</t>
  </si>
  <si>
    <t>Ngoài phạm vi giai đoạn này</t>
  </si>
  <si>
    <t>LỘ TRÌNH DỰ ÁN — CÁC MỐC CHÍNH</t>
  </si>
  <si>
    <t>Tổng hợp các mốc quan trọng — Cập nhật trạng thái ngay khi đạt được</t>
  </si>
  <si>
    <t>Mốc quan trọng</t>
  </si>
  <si>
    <t>Mô tả chi tiết</t>
  </si>
  <si>
    <t>Tuần</t>
  </si>
  <si>
    <t>Người chịu trách nhiệm</t>
  </si>
  <si>
    <t>Kết quả giao nộp</t>
  </si>
  <si>
    <t>M1</t>
  </si>
  <si>
    <t>Hoàn thành Project Charter</t>
  </si>
  <si>
    <t>Mục tiêu, phạm vi, đối tác, chỉ số đo lường đã chốt</t>
  </si>
  <si>
    <t>W1</t>
  </si>
  <si>
    <t>Tài liệu Charter, Quy chế làm việc</t>
  </si>
  <si>
    <t>M2</t>
  </si>
  <si>
    <t>Gặp đối tác lần đầu tiên</t>
  </si>
  <si>
    <t>Giới thiệu dự án, lắng nghe nhu cầu, xác nhận hướng đi</t>
  </si>
  <si>
    <t>Trưởng nhóm + Mentor</t>
  </si>
  <si>
    <t>Biên bản họp, Báo cáo phản hồi</t>
  </si>
  <si>
    <t>M3</t>
  </si>
  <si>
    <t>Hoàn thành thiết kế giải pháp</t>
  </si>
  <si>
    <t>Thiết kế kiến trúc hệ thống, mô hình dữ liệu, phương án kỹ thuật</t>
  </si>
  <si>
    <t>W2</t>
  </si>
  <si>
    <t>Cả nhóm</t>
  </si>
  <si>
    <t>Sơ đồ kiến trúc, Tài liệu giải pháp</t>
  </si>
  <si>
    <t>M4</t>
  </si>
  <si>
    <t>Demo lần 1 — Bản thử nghiệm</t>
  </si>
  <si>
    <t>Trình bày sản phẩm vòng 1 cho đối tác, thu thập phản hồi</t>
  </si>
  <si>
    <t>W3</t>
  </si>
  <si>
    <t>Cả nhóm + Mentor</t>
  </si>
  <si>
    <t>Bản thử nghiệm chạy được, Kịch bản demo</t>
  </si>
  <si>
    <t>M5</t>
  </si>
  <si>
    <t>Xử lý xong phản hồi Demo 1</t>
  </si>
  <si>
    <t>Triển khai phản hồi, phân loại lỗi, lên kế hoạch vòng 2</t>
  </si>
  <si>
    <t>W4</t>
  </si>
  <si>
    <t>Báo cáo phản hồi, Danh sách việc cập nhật</t>
  </si>
  <si>
    <t>M6</t>
  </si>
  <si>
    <t>Demo lần 2 — Sản phẩm hoàn thiện</t>
  </si>
  <si>
    <t>Trình bày sản phẩm hoàn chỉnh cho đối tác</t>
  </si>
  <si>
    <t>W5</t>
  </si>
  <si>
    <t>Sản phẩm hoàn thiện, Báo cáo chỉ số</t>
  </si>
  <si>
    <t>M7</t>
  </si>
  <si>
    <t>Phiên bản chính thức hoạt động</t>
  </si>
  <si>
    <t>Triển khai sản phẩm lên môi trường thực tế, có người dùng thật</t>
  </si>
  <si>
    <t>W6</t>
  </si>
  <si>
    <t>Địa chỉ sản phẩm, Danh sách kiểm tra triển khai</t>
  </si>
  <si>
    <t>M8</t>
  </si>
  <si>
    <t>Đánh giá cuối kỳ</t>
  </si>
  <si>
    <t>Thuyết trình tổng kết, báo cáo tác động, chấm điểm</t>
  </si>
  <si>
    <t>Slide thuyết trình, Báo cáo tác động</t>
  </si>
  <si>
    <t>BACKLOG — QUẢN LÝ CÔNG VIỆC THEO SPRINT</t>
  </si>
  <si>
    <t>Mọi công việc của dự án, chia theo Sprint, liên kết với User Story, có hạn chót và người phụ trách rõ ràng</t>
  </si>
  <si>
    <t>Mã việc</t>
  </si>
  <si>
    <t>Tên công việc</t>
  </si>
  <si>
    <t>Mã US liên quan</t>
  </si>
  <si>
    <t>Ưu tiên</t>
  </si>
  <si>
    <t>Dự kiến (giờ)</t>
  </si>
  <si>
    <t>Người phụ trách</t>
  </si>
  <si>
    <t>Hạn chót</t>
  </si>
  <si>
    <t>Link Spec / PR</t>
  </si>
  <si>
    <t>Vướng mắc</t>
  </si>
  <si>
    <t>Sprint 1: Khởi động và Thiết kế (W1-W2)</t>
  </si>
  <si>
    <t>T-001</t>
  </si>
  <si>
    <t>Lập Project Charter</t>
  </si>
  <si>
    <t>Xác định mục tiêu, phạm vi, đối tác, chỉ số đo lường</t>
  </si>
  <si>
    <t>P0</t>
  </si>
  <si>
    <t>4</t>
  </si>
  <si>
    <t>T-002</t>
  </si>
  <si>
    <t>Thiết lập GitHub và quy trình nhánh</t>
  </si>
  <si>
    <t>—</t>
  </si>
  <si>
    <t>Tạo kho lưu, bảo vệ nhánh, cấu hình CI/CD</t>
  </si>
  <si>
    <t>2</t>
  </si>
  <si>
    <t>T-003</t>
  </si>
  <si>
    <t>Thiết kế sơ đồ kiến trúc hệ thống</t>
  </si>
  <si>
    <t>Thiết kế hệ thống, luồng dữ liệu, công nghệ sử dụng</t>
  </si>
  <si>
    <t>6</t>
  </si>
  <si>
    <t>T-004</t>
  </si>
  <si>
    <t>Giới thiệu dự án, lắng nghe nhu cầu thực tế</t>
  </si>
  <si>
    <t>T-005</t>
  </si>
  <si>
    <t>Xây dựng cơ sở tri thức phiên bản 1</t>
  </si>
  <si>
    <t>Thu thập dữ liệu, tạo vector database</t>
  </si>
  <si>
    <t>P1</t>
  </si>
  <si>
    <t>8</t>
  </si>
  <si>
    <t>Sprint 2: Phát triển vòng 1 (W2-W3)</t>
  </si>
  <si>
    <t>T-006</t>
  </si>
  <si>
    <t>Phát triển các API endpoint chính</t>
  </si>
  <si>
    <t>Xây dựng API cốt lõi cho sản phẩm</t>
  </si>
  <si>
    <t>10</t>
  </si>
  <si>
    <t>T-007</t>
  </si>
  <si>
    <t>Phát triển giao diện chính</t>
  </si>
  <si>
    <t>Xây dựng các trang giao diện cốt lõi</t>
  </si>
  <si>
    <t>T-008</t>
  </si>
  <si>
    <t>Tích hợp mô hình AI</t>
  </si>
  <si>
    <t>Kết nối AI vào sản phẩm, tối ưu phản hồi</t>
  </si>
  <si>
    <t>T-009</t>
  </si>
  <si>
    <t>Chuẩn bị Demo lần 1</t>
  </si>
  <si>
    <t>Viết kịch bản demo, kiểm tra luồng, triển khai staging</t>
  </si>
  <si>
    <t>Sprint 3: Phát triển vòng 2 và Sửa lỗi (W4-W5)</t>
  </si>
  <si>
    <t>T-010</t>
  </si>
  <si>
    <t>Xử lý phản hồi từ Demo 1</t>
  </si>
  <si>
    <t>Triển khai phản hồi từ đối tác sau Demo 1</t>
  </si>
  <si>
    <t>T-011</t>
  </si>
  <si>
    <t>Phát triển thêm tính năng từ phản hồi</t>
  </si>
  <si>
    <t>Thêm tính năng mới theo yêu cầu đối tác</t>
  </si>
  <si>
    <t>T-012</t>
  </si>
  <si>
    <t>Kiểm thử toàn diện và Sửa lỗi</t>
  </si>
  <si>
    <t>Kiểm tra kỹ lưỡng, sửa tất cả lỗi phát hiện</t>
  </si>
  <si>
    <t>Sprint 4: Hoàn thiện và Bàn giao (W6)</t>
  </si>
  <si>
    <t>T-013</t>
  </si>
  <si>
    <t>Triển khai lên môi trường thực tế</t>
  </si>
  <si>
    <t>Cấu hình production, triển khai, xác nhận hoạt động</t>
  </si>
  <si>
    <t>T-014</t>
  </si>
  <si>
    <t>Kiểm thử cuối cùng và Tinh chỉnh giao diện</t>
  </si>
  <si>
    <t>Kiểm tra toàn diện, hoàn thiện trải nghiệm người dùng</t>
  </si>
  <si>
    <t>T-015</t>
  </si>
  <si>
    <t>Viết tài liệu hướng dẫn</t>
  </si>
  <si>
    <t>README, hướng dẫn sử dụng, tài liệu API</t>
  </si>
  <si>
    <t>T-016</t>
  </si>
  <si>
    <t>Chuẩn bị thuyết trình cuối kỳ</t>
  </si>
  <si>
    <t>Slide, kịch bản demo, báo cáo tác động</t>
  </si>
  <si>
    <t>T-017</t>
  </si>
  <si>
    <t>T-018</t>
  </si>
  <si>
    <t>T-019</t>
  </si>
  <si>
    <t>T-020</t>
  </si>
  <si>
    <t>T-021</t>
  </si>
  <si>
    <t>T-022</t>
  </si>
  <si>
    <t>T-023</t>
  </si>
  <si>
    <t>T-024</t>
  </si>
  <si>
    <t>ĐẶC TẢ TÍNH NĂNG / FEATURE SPECIFICATION</t>
  </si>
  <si>
    <t>Mô tả chi tiết từng tính năng theo cấu trúc: Động lực → Thiết kế → Kế hoạch</t>
  </si>
  <si>
    <t>ĐẶC TẢ #1</t>
  </si>
  <si>
    <t>Mã User Story liên quan</t>
  </si>
  <si>
    <t>[US-XXX]</t>
  </si>
  <si>
    <t>Tên tính năng</t>
  </si>
  <si>
    <t>[Tên tính năng cần mô tả]</t>
  </si>
  <si>
    <t>Người viết</t>
  </si>
  <si>
    <t>[Họ tên người phụ trách viết đặc tả]</t>
  </si>
  <si>
    <t>Ngày tạo</t>
  </si>
  <si>
    <t>Ngày cập nhật gần nhất</t>
  </si>
  <si>
    <t>Bản nháp / Đang review / Đã duyệt</t>
  </si>
  <si>
    <t>1. ĐỘNG LÝ (MOTIVATION)</t>
  </si>
  <si>
    <t>Vấn đề cần giải quyết</t>
  </si>
  <si>
    <t>[Tại sao cần tính năng này? Bài toán thực tế đang gặp là gì?]</t>
  </si>
  <si>
    <t>Người dùng mục tiêu</t>
  </si>
  <si>
    <t>[Ai sẽ sử dụng? Trải nghiệm hiện tại của họ ra sao?]</t>
  </si>
  <si>
    <t>Mục tiêu kỳ vọng</t>
  </si>
  <si>
    <t>[Kết quả mong đợi khi hoàn thành? Chỉ số đo lường nào?]</t>
  </si>
  <si>
    <t>Phương án thay thế đã xem xét</t>
  </si>
  <si>
    <t>[Có cách nào khác không? Vì sao chọn cách này?]</t>
  </si>
  <si>
    <t>2. THIẾT KẾ (DESIGN)</t>
  </si>
  <si>
    <t>Kiến trúc hệ thống</t>
  </si>
  <si>
    <t>[Mô tả kiến trúc, các thành phần liên quan, luồng dữ liệu. Đính kèm sơ đồ nếu có]</t>
  </si>
  <si>
    <t>[Mô tả giao diện, luồng người dùng, link mockup. Wireframe hoặc Figma]</t>
  </si>
  <si>
    <t>Thiết kế API</t>
  </si>
  <si>
    <t>[Endpoints, định dạng request/response, xác thực, xử lý lỗi]</t>
  </si>
  <si>
    <t>Mô hình dữ liệu</t>
  </si>
  <si>
    <t>[Schema cơ sở dữ liệu, bảng mới/sửa, quan hệ, indexes]</t>
  </si>
  <si>
    <t>Thiết kế AI/ML</t>
  </si>
  <si>
    <t>[Mô hình sử dụng, prompt engineering, RAG pipeline, chỉ số đánh giá]</t>
  </si>
  <si>
    <t>Trường hợp đặc biệt và Xử lý lỗi</t>
  </si>
  <si>
    <t>[Các trường hợp biên, lỗi có thể gặp, cách xử lý]</t>
  </si>
  <si>
    <t>Bảo mật và Quyền riêng tư</t>
  </si>
  <si>
    <t>[Xác thực, phân quyền, bảo vệ dữ liệu, giới hạn truy cập]</t>
  </si>
  <si>
    <t>3. KẾ HOẠCH (PLAN)</t>
  </si>
  <si>
    <t>Các bước thực hiện</t>
  </si>
  <si>
    <t>[Liệt kê từng bước cụ thể, dự kiến thời gian cho mỗi bước]</t>
  </si>
  <si>
    <t>Công việc con (liên kết Backlog)</t>
  </si>
  <si>
    <t>[T-001: mô tả | T-002: mô tả | ...]</t>
  </si>
  <si>
    <t>Phụ thuộc</t>
  </si>
  <si>
    <t>[Công việc/tính năng nào cần hoàn thành trước? Cần nguồn lực gì?]</t>
  </si>
  <si>
    <t>Timeline dự kiến</t>
  </si>
  <si>
    <t>[Ngày bắt đầu → Ngày kết thúc. Tổng dự kiến bao nhiêu giờ?]</t>
  </si>
  <si>
    <t>Kế hoạch kiểm thử</t>
  </si>
  <si>
    <t>[Test case, cách xác nhận, tiêu chí nghiệm thu]</t>
  </si>
  <si>
    <t>Kế hoạch triển khai</t>
  </si>
  <si>
    <t>[Chiến lược triển khai: từng giai đoạn, feature flag, hoặc release toàn bộ?]</t>
  </si>
  <si>
    <t>Tiêu chí thành công</t>
  </si>
  <si>
    <t>[Khi nào tính năng này được coi là hoàn thành? Chỉ số cụ thể?]</t>
  </si>
  <si>
    <t>Rủi ro và Cách giảm thiểu</t>
  </si>
  <si>
    <t>[Rủi ro có thể gặp + biện pháp phòng ngừa]</t>
  </si>
  <si>
    <t>────────────────────────────────────────────────────────────────────────────────</t>
  </si>
  <si>
    <t>ĐẶC TẢ #2</t>
  </si>
  <si>
    <t>THEO DÕI LỖI (BUG TRACKING)</t>
  </si>
  <si>
    <t>Báo cáo ngay khi phát hiện lỗi — Cập nhật trạng thái khi xử lý xong</t>
  </si>
  <si>
    <t>Mã lỗi</t>
  </si>
  <si>
    <t>Tiêu đề lỗi</t>
  </si>
  <si>
    <t>Cách tái hiện</t>
  </si>
  <si>
    <t>Mức nghiêm trọng</t>
  </si>
  <si>
    <t>Người xử lý</t>
  </si>
  <si>
    <t>Ngày phát hiện</t>
  </si>
  <si>
    <t>Ngày sửa / Ghi chú</t>
  </si>
  <si>
    <t>BUG-001</t>
  </si>
  <si>
    <t>[Tiêu đề lỗi, ví dụ: Chatbot không trả lời khi nhập tiếng Việt có dấu]</t>
  </si>
  <si>
    <t>[Mô tả chi tiết hiện tượng]</t>
  </si>
  <si>
    <t>1. Mở trang chat
2. Nhập câu hỏi có dấu
3. Quan sát phản hồi</t>
  </si>
  <si>
    <t>Nghiêm trọng</t>
  </si>
  <si>
    <t>[Họ tên người xử lý]</t>
  </si>
  <si>
    <t>Mở</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</si>
  <si>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</si>
  <si>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</si>
  <si>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</si>
  <si>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</si>
  <si>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</si>
  <si>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</si>
  <si>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</si>
  <si>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</si>
  <si>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</si>
  <si>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</si>
  <si>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</si>
  <si>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</si>
  <si>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</si>
  <si>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</si>
  <si>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</si>
  <si>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</si>
  <si>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</si>
  <si>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</si>
  <si>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</si>
  <si>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BUG-021</t>
  </si>
  <si>
    <t>BUG-022</t>
  </si>
  <si>
    <t>BUG-023</t>
  </si>
  <si>
    <t>BUG-024</t>
  </si>
  <si>
    <t>BUG-025</t>
  </si>
  <si>
    <t>BUG-026</t>
  </si>
  <si>
    <t>BUG-027</t>
  </si>
  <si>
    <t>BUG-028</t>
  </si>
  <si>
    <t>BUG-029</t>
  </si>
  <si>
    <t>BUG-030</t>
  </si>
  <si>
    <t>BUG-031</t>
  </si>
  <si>
    <t>THANG MỨC NGHIÊM TRỌNG</t>
  </si>
  <si>
    <t>Ứng dụng sập hoặc mất dữ liệu — Không thể sử dụng được</t>
  </si>
  <si>
    <t>Cao</t>
  </si>
  <si>
    <t>Tính năng chính không hoạt động đúng, ảnh hưởng nhiều người dùng</t>
  </si>
  <si>
    <t>Trung bình</t>
  </si>
  <si>
    <t>Tính năng phụ bị lỗi, trải nghiệm không tốt nhưng vẫn dùng được</t>
  </si>
  <si>
    <t>Thấp</t>
  </si>
  <si>
    <t>Lỗi nhỏ, liên quan giao diện, không ảnh hưởng chức năng</t>
  </si>
  <si>
    <t>DANH SÁCH TÀI LIỆU QUAN TRỌNG</t>
  </si>
  <si>
    <t>Tập hợp link tới mọi tài liệu dự án — Cập nhật ngay khi có tài liệu mới</t>
  </si>
  <si>
    <t>Tên tài liệu</t>
  </si>
  <si>
    <t>Đường link</t>
  </si>
  <si>
    <t>Người tạo</t>
  </si>
  <si>
    <t>Cập nhật lần cuối</t>
  </si>
  <si>
    <t>Quy trình và Hướng dẫn</t>
  </si>
  <si>
    <t>Project Charter (Hiến chương dự án)</t>
  </si>
  <si>
    <t>Mục tiêu, phạm vi, đối tác, chỉ số đo lường thành công</t>
  </si>
  <si>
    <t>Quy chế làm việc nội bộ</t>
  </si>
  <si>
    <t>Quy tắc phân việc, họp hành, liên lạc</t>
  </si>
  <si>
    <t>Lộ trình 6 tuần (chi tiết)</t>
  </si>
  <si>
    <t>Kế hoạch từng tuần từ W1 đến W6</t>
  </si>
  <si>
    <t>Thiết kế và Đặc tả</t>
  </si>
  <si>
    <t>Kiến trúc tổng thể, các thành phần, luồng dữ liệu</t>
  </si>
  <si>
    <t>Tài liệu thiết kế giải pháp</t>
  </si>
  <si>
    <t>Phương án kỹ thuật, công nghệ, data model</t>
  </si>
  <si>
    <t>Swagger / Postman — Danh sách endpoints</t>
  </si>
  <si>
    <t>ER diagram, cấu trúc bảng, quan hệ</t>
  </si>
  <si>
    <t>Thiết kế giao diện (Wireframes)</t>
  </si>
  <si>
    <t>Figma / design files — Mô phỏng giao diện</t>
  </si>
  <si>
    <t>Báo cáo và Biên bản họp</t>
  </si>
  <si>
    <t>Ghi chép mọi buổi gặp với stakeholder</t>
  </si>
  <si>
    <t>Báo cáo phản hồi Demo 1</t>
  </si>
  <si>
    <t>Phản hồi từ đối tác sau buổi demo lần 1</t>
  </si>
  <si>
    <t>Báo cáo phản hồi Demo 2</t>
  </si>
  <si>
    <t>Phản hồi từ đối tác sau buổi demo lần 2</t>
  </si>
  <si>
    <t>Báo cáo tuần</t>
  </si>
  <si>
    <t>Tổng hợp tình hình từng tuần gửi mentor</t>
  </si>
  <si>
    <t>Tài liệu kỹ thuật</t>
  </si>
  <si>
    <t>README.md (GitHub)</t>
  </si>
  <si>
    <t>Hướng dẫn cài đặt, chạy, triển khai dự án</t>
  </si>
  <si>
    <t>Hướng dẫn triển khai (Deployment Guide)</t>
  </si>
  <si>
    <t>Quy trình deploy lên staging và production</t>
  </si>
  <si>
    <t>Tài liệu kiểm thử</t>
  </si>
  <si>
    <t>Test cases, kết quả test, ghi chú QA</t>
  </si>
  <si>
    <t>Hướng dẫn cài đặt môi trường</t>
  </si>
  <si>
    <t>Cài đặt môi trường phát triển cho thành viên mới</t>
  </si>
  <si>
    <t>Tác động và Thuyết trình</t>
  </si>
  <si>
    <t>Báo cáo tác động (Impact Report)</t>
  </si>
  <si>
    <t>Chỉ số đo lường, kết quả thực tế, bài học</t>
  </si>
  <si>
    <t>Slide thuyết trình cuối kỳ</t>
  </si>
  <si>
    <t>Slide cho buổi đánh giá cuối kỳ</t>
  </si>
  <si>
    <t>Kịch bản demo</t>
  </si>
  <si>
    <t>Kịch bản chi tiết cho Demo 1 và Demo 2</t>
  </si>
  <si>
    <t>HƯỚNG DẪN SỬ DỤNG TEMPLATE</t>
  </si>
  <si>
    <t>Đọc kỹ trước khi bắt đầu điền — Tránh sai sót và tận dụng tối đa các tính năng</t>
  </si>
  <si>
    <t>A. TỔNG QUAN VỀ TEMPLATE</t>
  </si>
  <si>
    <t>Mục đích</t>
  </si>
  <si>
    <t>Template này là hồ sơ quản lý dự án duy nhất của nhóm. Mọi thông tin về tiến độ, công việc, lỗi, và tài liệu đều được ghi nhận tại đây. Trưởng nhóm chịu trách nhiệm cập nhật liên tục.</t>
  </si>
  <si>
    <t>Nguyên tắc cốt lõi</t>
  </si>
  <si>
    <t>• Chỉ có 1 bản duy nhất — không tách file, không copy
• Cập nhật ít nhất 1 lần/ngày trong giờ làm việc
• Mọi thành viên đều đọc được, chỉ Trưởng nhóm và người được ủy quyền mới sửa</t>
  </si>
  <si>
    <t>Đối tượng sử dụng</t>
  </si>
  <si>
    <t>• Trưởng nhóm: Quản lý, phân việc, báo cáo
• Thành viên: Xem công việc, cập nhật trạng thái
• Mentor: Theo dõi tiến độ, đánh giá
• Đối tác (Stakeholder): XemDemo, phản hồi</t>
  </si>
  <si>
    <t>B. HƯỚNG DẪN TỪNG SHEET</t>
  </si>
  <si>
    <t>1. Tổng hợp</t>
  </si>
  <si>
    <t>•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t>
  </si>
  <si>
    <t>2. Đường link quan trọng</t>
  </si>
  <si>
    <t>• Dán mọi link liên quan vào đúng phân loại
• Khi thêm link mới, điền ngay "Người quản lý" để biết ai phụ trách
• Xóa placeholder [Dán link vào đây] khi đã điền link thật</t>
  </si>
  <si>
    <t>3. Thành viên nhóm</t>
  </si>
  <si>
    <t>• Điền đủ 4 thành viên với vai trò chính xác
• Tham khảo bảng phân vai bên dưới để hiểu trách nhiệm mỗi vai
• Cập nhật nếu có thay đổi nhân sự</t>
  </si>
  <si>
    <t>4. Danh sách User Story</t>
  </si>
  <si>
    <t>• Viết theo cấu trúc: "Với vai trò [X], tôi muốn [Y], để đạt được [Z]"
• Chọn Mức ưu tiên từ dropdown: Bắt buộc / Nên có / Có thì tốt / Không làm
• Mã US (US-001, US-002...) dùng để liên kết với Backlog và Đặc tả</t>
  </si>
  <si>
    <t>5. Lộ trình</t>
  </si>
  <si>
    <t>• 8 mốc quan trọng đã được tạo sẵn theo quy trình 6 tuần
• Cập nhật ngày cụ thể khi bắt đầu dự án
• Chuyển trạng thái sang "Hoàn thành" ngay khi đạt được mốc</t>
  </si>
  <si>
    <t>6. Backlog</t>
  </si>
  <si>
    <t>•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t>
  </si>
  <si>
    <t>7. Đặc tả tính năng</t>
  </si>
  <si>
    <t>• Viết đặc tả theo 3 phần: Động lực → Thiết kế → Kế hoạch
• Mỗi tính năng quan trọng cần có 1 đặc tả riêng
• Liên kết mã US và mã Task từ Backlog để dễ tra cứu</t>
  </si>
  <si>
    <t>8. Theo dõi lỗi</t>
  </si>
  <si>
    <t>• Báo lỗi ngay khi phát hiện — không đợi
• Điền đủ "Cách tái hiện" để người sửa hiểu rõ vấn đề
• Chọn Mức nghiêm trọng phù hợp (xem thang đo ở cuối sheet)
• Màu tự động hiện: Đỏ = Nghiêm trọng, Vàng = Trung bình, Xanh = Thấp</t>
  </si>
  <si>
    <t>9. Tài liệu quan trọng</t>
  </si>
  <si>
    <t>• Lưu link mọi tài liệu dự án theo đúng phân loại
• Cập nhật "Cập nhật lần cuối" mỗi khi sửa tài liệu
• Đây là nơi duy nhất để tìm tài liệu — không để link rải rác ở Discord/Email</t>
  </si>
  <si>
    <t>C. MẸO SỬ DỤNG HIỆU QUẢ</t>
  </si>
  <si>
    <t>Dropdown tự động</t>
  </si>
  <si>
    <t>Nhiều cột đã có sẵn danh sách chọn (Priority, Status, Severity). Nhấn vào ô và chọn từ dropdown — không gõ tay để tránh sai chính tả.</t>
  </si>
  <si>
    <t>Màu sắc tự động</t>
  </si>
  <si>
    <t>Trạng thái sẽ tự đổi màu theo giá trị:
• Xanh lá = Hoàn thành / Thấp
• Vàng = Đang làm / Trung bình
• Đỏ = Bị kẹt / Nghiêm trọng / P0</t>
  </si>
  <si>
    <t>Công thức tự động</t>
  </si>
  <si>
    <t>Một số ô ở sheet Tổng hợp sẽ tự động đếm số lượng từ các sheet khác. KHÔNG sửa các ô có công thức (bắt đầu bằng dấu =).</t>
  </si>
  <si>
    <t>Liên kết giữa các sheet</t>
  </si>
  <si>
    <t>Mã User Story (US-001) xuất hiện ở 4 sheet: Danh sách US, Backlog, Đặc tả, và Theo dõi lỗi. Dùng mã này để tra cứu chéo.</t>
  </si>
  <si>
    <t>Quy trình hàng ngày</t>
  </si>
  <si>
    <t>1. Sáng: Mở file, kiểm tra công việc hôm nay trong Backlog
2. Trong ngày: Cập nhật trạng thái công việc khi thay đổi
3. Chiều: Báo cáo standup dựa trên thông tin trong file
4. Tối: Trưởng nhóm kiểm tra và tổng hợp</t>
  </si>
  <si>
    <t>D. LƯU Ý QUAN TRỌNG</t>
  </si>
  <si>
    <t>Không xóa dòng có sẵn</t>
  </si>
  <si>
    <t>Các dòng đã có mã (US-001, T-001, BUG-001) được giữ sẵn để điền. Chỉ cần điền nội dung, không cần thêm dòng mới trừ khi hết chỗ.</t>
  </si>
  <si>
    <t>Luôn lưu (Ctrl+S)</t>
  </si>
  <si>
    <t>Nếu dùng Google Sheets, dữ liệu tự lưu. Nếu dùng Excel, nhớ lưu thường xuyên.</t>
  </si>
  <si>
    <t>Bảo mật</t>
  </si>
  <si>
    <t>Không chia sẻ file công khai. Chỉ chia sẻ cho thành viên nhóm và mentor.</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</si>
</sst>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6.0"/>
      <color rgb="FF1F4E79"/>
      <name val="Arial"/>
    </font>
    <font>
      <sz val="11.0"/>
      <color rgb="FF595959"/>
      <name val="Arial"/>
    </font>
    <font>
      <b/>
      <sz val="11.0"/>
      <color theme="1"/>
      <name val="Arial"/>
    </font>
    <font>
      <sz val="11.0"/>
      <color theme="1"/>
      <name val="Arial"/>
    </font>
    <font/>
    <font>
      <i/>
      <sz val="11.0"/>
      <color rgb="FF999999"/>
      <name val="Arial"/>
    </font>
    <font>
      <b/>
      <sz val="14.0"/>
      <color rgb="FF1F4E79"/>
      <name val="Arial"/>
    </font>
    <font>
      <b/>
      <sz val="11.0"/>
      <color rgb="FFFFFFFF"/>
      <name val="Arial"/>
    </font>
    <font>
      <sz val="11.0"/>
      <color theme="1"/>
      <name val="Calibri"/>
    </font>
    <font>
      <b/>
      <sz val="13.0"/>
      <color rgb="FF1F4E79"/>
      <name val="Arial"/>
    </font>
    <font>
      <color theme="1"/>
      <name val="Calibri"/>
      <scheme val="minor"/>
    </font>
    <font>
      <b/>
      <sz val="12.0"/>
      <color rgb="FF1F4E79"/>
      <name val="Arial"/>
    </font>
    <font>
      <color rgb="FFB4C6E7"/>
      <name val="Calibri"/>
      <scheme val="minor"/>
    </font>
    <font>
      <b/>
      <color rgb="FFFFFFFF"/>
      <name val="Calibri"/>
      <scheme val="minor"/>
    </font>
    <font>
      <b/>
      <color theme="1"/>
      <name val="Calibri"/>
      <scheme val="minor"/>
    </font>
  </fonts>
  <fills count="13">
    <fill>
      <patternFill patternType="none"/>
    </fill>
    <fill>
      <patternFill patternType="lightGray"/>
    </fill>
    <fill>
      <patternFill patternType="solid">
        <fgColor rgb="FFFFF2CC"/>
        <bgColor rgb="FFFFF2CC"/>
      </patternFill>
    </fill>
    <fill>
      <patternFill patternType="solid">
        <fgColor rgb="FFD6E4F0"/>
        <bgColor rgb="FFD6E4F0"/>
      </patternFill>
    </fill>
    <fill>
      <patternFill patternType="solid">
        <fgColor rgb="FF1F4E79"/>
        <bgColor rgb="FF1F4E79"/>
      </patternFill>
    </fill>
    <fill>
      <patternFill patternType="solid">
        <fgColor rgb="FFF2F7FB"/>
        <bgColor rgb="FFF2F7FB"/>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0000"/>
        <bgColor rgb="FFFF0000"/>
      </patternFill>
    </fill>
    <fill>
      <patternFill patternType="solid">
        <fgColor rgb="FFFF6600"/>
        <bgColor rgb="FFFF6600"/>
      </patternFill>
    </fill>
    <fill>
      <patternFill patternType="solid">
        <fgColor rgb="FFFFD700"/>
        <bgColor rgb="FFFFD700"/>
      </patternFill>
    </fill>
    <fill>
      <patternFill patternType="solid">
        <fgColor rgb="FF90EE90"/>
        <bgColor rgb="FF90EE90"/>
      </patternFill>
    </fill>
  </fills>
  <borders count="6">
    <border/>
    <border>
      <left style="thin">
        <color rgb="FFB4C6E7"/>
      </left>
      <right style="thin">
        <color rgb="FFB4C6E7"/>
      </right>
      <top style="thin">
        <color rgb="FFB4C6E7"/>
      </top>
      <bottom style="thin">
        <color rgb="FFB4C6E7"/>
      </bottom>
    </border>
    <border>
      <left style="thin">
        <color rgb="FFB4C6E7"/>
      </lef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4" numFmtId="0" xfId="0" applyBorder="1" applyFont="1"/>
    <xf borderId="3" fillId="0" fontId="5" numFmtId="0" xfId="0" applyBorder="1" applyFont="1"/>
    <xf borderId="4" fillId="0" fontId="5" numFmtId="0" xfId="0" applyBorder="1" applyFont="1"/>
    <xf borderId="1" fillId="3" fontId="3" numFmtId="0" xfId="0" applyBorder="1" applyFill="1" applyFont="1"/>
    <xf borderId="2" fillId="0" fontId="6" numFmtId="0" xfId="0" applyBorder="1" applyFont="1"/>
    <xf borderId="0" fillId="0" fontId="7" numFmtId="0" xfId="0" applyFont="1"/>
    <xf borderId="1" fillId="4" fontId="8" numFmtId="0" xfId="0" applyAlignment="1" applyBorder="1" applyFill="1" applyFont="1">
      <alignment horizontal="center" shrinkToFit="0" vertical="center" wrapText="1"/>
    </xf>
    <xf borderId="1" fillId="0" fontId="4" numFmtId="0" xfId="0" applyAlignment="1" applyBorder="1" applyFont="1">
      <alignment shrinkToFit="0" vertical="top" wrapText="1"/>
    </xf>
    <xf borderId="1" fillId="5" fontId="4" numFmtId="0" xfId="0" applyAlignment="1" applyBorder="1" applyFill="1" applyFont="1">
      <alignment shrinkToFit="0" vertical="top" wrapText="1"/>
    </xf>
    <xf borderId="1" fillId="0" fontId="4" numFmtId="0" xfId="0" applyAlignment="1" applyBorder="1" applyFont="1">
      <alignment horizontal="center" shrinkToFit="0" vertical="center" wrapText="1"/>
    </xf>
    <xf borderId="1" fillId="0" fontId="4" numFmtId="0" xfId="0" applyBorder="1" applyFont="1"/>
    <xf borderId="1" fillId="3" fontId="9" numFmtId="0" xfId="0" applyBorder="1" applyFont="1"/>
    <xf borderId="2" fillId="3" fontId="3" numFmtId="0" xfId="0" applyBorder="1" applyFont="1"/>
    <xf borderId="1" fillId="0" fontId="9" numFmtId="0" xfId="0" applyAlignment="1" applyBorder="1" applyFont="1">
      <alignment shrinkToFit="0" vertical="top" wrapText="1"/>
    </xf>
    <xf borderId="1" fillId="0" fontId="6" numFmtId="0" xfId="0" applyAlignment="1" applyBorder="1" applyFont="1">
      <alignment shrinkToFit="0" vertical="top" wrapText="1"/>
    </xf>
    <xf borderId="0" fillId="0" fontId="10" numFmtId="0" xfId="0" applyFont="1"/>
    <xf borderId="0" fillId="0" fontId="3" numFmtId="0" xfId="0" applyFont="1"/>
    <xf borderId="5" fillId="6" fontId="4" numFmtId="0" xfId="0" applyBorder="1" applyFill="1" applyFont="1"/>
    <xf borderId="0" fillId="0" fontId="4" numFmtId="0" xfId="0" applyFont="1"/>
    <xf borderId="5" fillId="7" fontId="4" numFmtId="0" xfId="0" applyBorder="1" applyFill="1" applyFont="1"/>
    <xf borderId="5" fillId="8" fontId="4" numFmtId="0" xfId="0" applyBorder="1" applyFill="1" applyFont="1"/>
    <xf borderId="0" fillId="0" fontId="4" numFmtId="0" xfId="0" applyAlignment="1" applyFont="1">
      <alignment horizontal="center" shrinkToFit="0" vertical="center" wrapText="1"/>
    </xf>
    <xf borderId="0" fillId="0" fontId="11" numFmtId="0" xfId="0" applyFont="1"/>
    <xf borderId="2" fillId="3" fontId="10" numFmtId="0" xfId="0" applyBorder="1" applyFont="1"/>
    <xf borderId="1" fillId="5" fontId="3" numFmtId="0" xfId="0" applyAlignment="1" applyBorder="1" applyFont="1">
      <alignment shrinkToFit="0" vertical="top" wrapText="1"/>
    </xf>
    <xf borderId="2" fillId="0" fontId="6" numFmtId="0" xfId="0" applyAlignment="1" applyBorder="1" applyFont="1">
      <alignment shrinkToFit="0" vertical="top" wrapText="1"/>
    </xf>
    <xf borderId="2" fillId="0" fontId="4" numFmtId="0" xfId="0" applyAlignment="1" applyBorder="1" applyFont="1">
      <alignment shrinkToFit="0" vertical="top" wrapText="1"/>
    </xf>
    <xf borderId="2" fillId="3" fontId="12" numFmtId="0" xfId="0" applyAlignment="1" applyBorder="1" applyFont="1">
      <alignment shrinkToFit="0" vertical="top" wrapText="1"/>
    </xf>
    <xf borderId="0" fillId="0" fontId="13" numFmtId="0" xfId="0" applyFont="1"/>
    <xf borderId="5" fillId="9" fontId="14" numFmtId="0" xfId="0" applyBorder="1" applyFill="1" applyFont="1"/>
    <xf borderId="5" fillId="10" fontId="14" numFmtId="0" xfId="0" applyBorder="1" applyFill="1" applyFont="1"/>
    <xf borderId="5" fillId="11" fontId="15" numFmtId="0" xfId="0" applyBorder="1" applyFill="1" applyFont="1"/>
    <xf borderId="5" fillId="12" fontId="15" numFmtId="0" xfId="0" applyBorder="1" applyFill="1" applyFont="1"/>
  </cellXfs>
  <cellStyles count="1">
    <cellStyle xfId="0" name="Normal" builtinId="0"/>
  </cellStyles>
  <dxfs count="5">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E0E0E0"/>
          <bgColor rgb="FFE0E0E0"/>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2.0"/>
    <col customWidth="1" min="2" max="3" width="22.0"/>
    <col customWidth="1" min="4" max="5" width="16.0"/>
    <col customWidth="1" min="6" max="7" width="14.0"/>
    <col customWidth="1" min="8" max="8" width="16.0"/>
    <col customWidth="1" min="9" max="26" width="8.71"/>
  </cols>
  <sheetData>
    <row r="1">
      <c r="A1" s="1" t="s">
        <v>0</v>
      </c>
    </row>
    <row r="2">
      <c r="A2" s="2" t="s">
        <v>1</v>
      </c>
    </row>
    <row r="3">
      <c r="A3" s="3" t="s">
        <v>2</v>
      </c>
      <c r="B3" s="4" t="s">
        <v>3</v>
      </c>
      <c r="C3" s="5"/>
      <c r="D3" s="6"/>
    </row>
    <row r="5">
      <c r="A5" s="7" t="s">
        <v>4</v>
      </c>
      <c r="B5" s="8" t="s">
        <v>5</v>
      </c>
      <c r="C5" s="5"/>
      <c r="D5" s="6"/>
    </row>
    <row r="6">
      <c r="A6" s="7" t="s">
        <v>6</v>
      </c>
      <c r="B6" s="8" t="s">
        <v>7</v>
      </c>
      <c r="C6" s="5"/>
      <c r="D6" s="6"/>
    </row>
    <row r="7">
      <c r="A7" s="7" t="s">
        <v>8</v>
      </c>
      <c r="B7" s="8" t="s">
        <v>9</v>
      </c>
      <c r="C7" s="5"/>
      <c r="D7" s="6"/>
    </row>
    <row r="8">
      <c r="A8" s="7" t="s">
        <v>10</v>
      </c>
      <c r="B8" s="8" t="s">
        <v>9</v>
      </c>
      <c r="C8" s="5"/>
      <c r="D8" s="6"/>
    </row>
    <row r="9">
      <c r="A9" s="7" t="s">
        <v>11</v>
      </c>
      <c r="B9" s="8" t="s">
        <v>12</v>
      </c>
      <c r="C9" s="5"/>
      <c r="D9" s="6"/>
    </row>
    <row r="10">
      <c r="A10" s="7" t="s">
        <v>13</v>
      </c>
      <c r="B10" s="8" t="s">
        <v>14</v>
      </c>
      <c r="C10" s="5"/>
      <c r="D10" s="6"/>
    </row>
    <row r="11">
      <c r="A11" s="7" t="s">
        <v>15</v>
      </c>
      <c r="B11" s="8" t="s">
        <v>16</v>
      </c>
      <c r="C11" s="5"/>
      <c r="D11" s="6"/>
    </row>
    <row r="12">
      <c r="A12" s="7" t="s">
        <v>17</v>
      </c>
      <c r="B12" s="8" t="s">
        <v>18</v>
      </c>
      <c r="C12" s="5"/>
      <c r="D12" s="6"/>
    </row>
    <row r="13">
      <c r="A13" s="7" t="s">
        <v>19</v>
      </c>
      <c r="B13" s="8" t="s">
        <v>20</v>
      </c>
      <c r="C13" s="5"/>
      <c r="D13" s="6"/>
    </row>
    <row r="14">
      <c r="A14" s="7" t="s">
        <v>21</v>
      </c>
      <c r="B14" s="8" t="s">
        <v>22</v>
      </c>
      <c r="C14" s="5"/>
      <c r="D14" s="6"/>
    </row>
    <row r="16">
      <c r="A16" s="9" t="s">
        <v>23</v>
      </c>
    </row>
    <row r="18">
      <c r="A18" s="10" t="s">
        <v>24</v>
      </c>
      <c r="B18" s="10" t="s">
        <v>25</v>
      </c>
      <c r="C18" s="10" t="s">
        <v>26</v>
      </c>
      <c r="D18" s="10" t="s">
        <v>27</v>
      </c>
      <c r="E18" s="10" t="s">
        <v>28</v>
      </c>
      <c r="F18" s="10" t="s">
        <v>29</v>
      </c>
      <c r="G18" s="10" t="s">
        <v>30</v>
      </c>
      <c r="H18" s="10" t="s">
        <v>31</v>
      </c>
    </row>
    <row r="19">
      <c r="A19" s="11" t="s">
        <v>32</v>
      </c>
      <c r="B19" s="11" t="s">
        <v>33</v>
      </c>
      <c r="C19" s="11"/>
      <c r="D19" s="11"/>
      <c r="E19" s="11"/>
      <c r="F19" s="11"/>
      <c r="G19" s="11"/>
      <c r="H19" s="11" t="s">
        <v>34</v>
      </c>
    </row>
    <row r="20">
      <c r="A20" s="12" t="s">
        <v>35</v>
      </c>
      <c r="B20" s="12" t="s">
        <v>36</v>
      </c>
      <c r="C20" s="12"/>
      <c r="D20" s="12"/>
      <c r="E20" s="12"/>
      <c r="F20" s="12"/>
      <c r="G20" s="12"/>
      <c r="H20" s="12" t="s">
        <v>34</v>
      </c>
    </row>
    <row r="21" ht="15.75" customHeight="1">
      <c r="A21" s="11" t="s">
        <v>37</v>
      </c>
      <c r="B21" s="11" t="s">
        <v>38</v>
      </c>
      <c r="C21" s="11"/>
      <c r="D21" s="11"/>
      <c r="E21" s="11"/>
      <c r="F21" s="11"/>
      <c r="G21" s="11"/>
      <c r="H21" s="11" t="s">
        <v>34</v>
      </c>
    </row>
    <row r="22" ht="15.75" customHeight="1">
      <c r="A22" s="12" t="s">
        <v>39</v>
      </c>
      <c r="B22" s="12" t="s">
        <v>40</v>
      </c>
      <c r="C22" s="12"/>
      <c r="D22" s="12"/>
      <c r="E22" s="12"/>
      <c r="F22" s="12"/>
      <c r="G22" s="12"/>
      <c r="H22" s="12" t="s">
        <v>34</v>
      </c>
    </row>
    <row r="23" ht="15.75" customHeight="1"/>
    <row r="24" ht="15.75" customHeight="1">
      <c r="A24" s="9" t="s">
        <v>41</v>
      </c>
    </row>
    <row r="25" ht="15.75" customHeight="1"/>
    <row r="26" ht="15.75" customHeight="1">
      <c r="A26" s="7" t="s">
        <v>42</v>
      </c>
      <c r="B26" s="13">
        <f>COUNTA('Danh sách User Story'!A5:A32)</f>
        <v>28</v>
      </c>
      <c r="C26" s="14" t="s">
        <v>43</v>
      </c>
    </row>
    <row r="27" ht="15.75" customHeight="1">
      <c r="A27" s="7" t="s">
        <v>44</v>
      </c>
      <c r="B27" s="13" t="str">
        <f>COUNTIF('Danh sách User Story'!H5:H32,"Hoàn thành") &amp; " / " &amp; COUNTA('Danh sách User Story'!A5:A32)</f>
        <v>0 / 28</v>
      </c>
      <c r="C27" s="14"/>
    </row>
    <row r="28" ht="15.75" customHeight="1">
      <c r="A28" s="7" t="s">
        <v>45</v>
      </c>
      <c r="B28" s="13">
        <f>COUNTIF('Theo dõi lỗi'!K5:K38,"Mở")</f>
        <v>1</v>
      </c>
      <c r="C28" s="14" t="s">
        <v>46</v>
      </c>
    </row>
    <row r="29" ht="15.75" customHeight="1">
      <c r="A29" s="7" t="s">
        <v>47</v>
      </c>
      <c r="B29" s="13" t="s">
        <v>48</v>
      </c>
      <c r="C29" s="14" t="s">
        <v>49</v>
      </c>
    </row>
    <row r="30" ht="15.75" customHeight="1">
      <c r="A30" s="7" t="s">
        <v>50</v>
      </c>
      <c r="B30" s="13" t="s">
        <v>51</v>
      </c>
      <c r="C30" s="14" t="s">
        <v>52</v>
      </c>
    </row>
    <row r="31" ht="15.75" customHeight="1">
      <c r="A31" s="7" t="s">
        <v>53</v>
      </c>
      <c r="B31" s="13" t="s">
        <v>54</v>
      </c>
      <c r="C31" s="1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9:D9"/>
    <mergeCell ref="B10:D10"/>
    <mergeCell ref="B11:D11"/>
    <mergeCell ref="B12:D12"/>
    <mergeCell ref="B13:D13"/>
    <mergeCell ref="B14:D14"/>
    <mergeCell ref="A16:H16"/>
    <mergeCell ref="A24:H24"/>
    <mergeCell ref="A1:H1"/>
    <mergeCell ref="A2:H2"/>
    <mergeCell ref="B3:D3"/>
    <mergeCell ref="B5:D5"/>
    <mergeCell ref="B6:D6"/>
    <mergeCell ref="B7:D7"/>
    <mergeCell ref="B8:D8"/>
  </mergeCells>
  <conditionalFormatting sqref="B3">
    <cfRule type="cellIs" dxfId="0" priority="1" operator="equal">
      <formula>"Đúng tiến độ"</formula>
    </cfRule>
  </conditionalFormatting>
  <conditionalFormatting sqref="B3">
    <cfRule type="cellIs" dxfId="1" priority="2" operator="equal">
      <formula>"Có rủi ro"</formula>
    </cfRule>
  </conditionalFormatting>
  <conditionalFormatting sqref="B3">
    <cfRule type="cellIs" dxfId="2" priority="3" operator="equal">
      <formula>"Bị kẹt"</formula>
    </cfRule>
  </conditionalFormatting>
  <conditionalFormatting sqref="H19:H22">
    <cfRule type="cellIs" dxfId="0" priority="4" operator="equal">
      <formula>"Hoàn thành"</formula>
    </cfRule>
  </conditionalFormatting>
  <conditionalFormatting sqref="H19:H22">
    <cfRule type="cellIs" dxfId="1" priority="5" operator="equal">
      <formula>"Đang làm"</formula>
    </cfRule>
  </conditionalFormatting>
  <conditionalFormatting sqref="H19:H22">
    <cfRule type="cellIs" dxfId="2" priority="6" operator="equal">
      <formula>"Bị kẹt"</formula>
    </cfRule>
  </conditionalFormatting>
  <conditionalFormatting sqref="H19:H22">
    <cfRule type="cellIs" dxfId="3" priority="7" operator="equal">
      <formula>"Chưa bắt đầu"</formula>
    </cfRule>
  </conditionalFormatting>
  <dataValidations>
    <dataValidation type="list" allowBlank="1" sqref="H19:H22">
      <formula1>"Chưa bắt đầu,Đang làm,Hoàn thành,Bị kẹt"</formula1>
    </dataValidation>
    <dataValidation type="list" allowBlank="1" sqref="B3">
      <formula1>"Đúng tiến độ,Có rủi ro,Bị kẹt"</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4.0"/>
    <col customWidth="1" min="3" max="3" width="32.0"/>
    <col customWidth="1" min="4" max="4" width="40.0"/>
    <col customWidth="1" min="5" max="6" width="22.0"/>
    <col customWidth="1" min="7" max="26" width="8.71"/>
  </cols>
  <sheetData>
    <row r="1">
      <c r="A1" s="1" t="s">
        <v>55</v>
      </c>
    </row>
    <row r="2">
      <c r="A2" s="2" t="s">
        <v>56</v>
      </c>
    </row>
    <row r="4">
      <c r="A4" s="10" t="s">
        <v>57</v>
      </c>
      <c r="B4" s="10" t="s">
        <v>58</v>
      </c>
      <c r="C4" s="10" t="s">
        <v>59</v>
      </c>
      <c r="D4" s="10" t="s">
        <v>60</v>
      </c>
      <c r="E4" s="10" t="s">
        <v>61</v>
      </c>
      <c r="F4" s="10" t="s">
        <v>62</v>
      </c>
    </row>
    <row r="5">
      <c r="A5" s="15"/>
      <c r="B5" s="16" t="s">
        <v>63</v>
      </c>
      <c r="C5" s="5"/>
      <c r="D5" s="5"/>
      <c r="E5" s="5"/>
      <c r="F5" s="6"/>
    </row>
    <row r="6">
      <c r="A6" s="11">
        <v>1.0</v>
      </c>
      <c r="B6" s="17"/>
      <c r="C6" s="11" t="s">
        <v>64</v>
      </c>
      <c r="D6" s="18" t="s">
        <v>65</v>
      </c>
      <c r="E6" s="18" t="s">
        <v>66</v>
      </c>
      <c r="F6" s="11"/>
    </row>
    <row r="7">
      <c r="A7" s="11">
        <v>2.0</v>
      </c>
      <c r="B7" s="17"/>
      <c r="C7" s="11" t="s">
        <v>67</v>
      </c>
      <c r="D7" s="18" t="s">
        <v>65</v>
      </c>
      <c r="E7" s="18" t="s">
        <v>68</v>
      </c>
      <c r="F7" s="11"/>
    </row>
    <row r="8">
      <c r="A8" s="11">
        <v>3.0</v>
      </c>
      <c r="B8" s="17"/>
      <c r="C8" s="11" t="s">
        <v>69</v>
      </c>
      <c r="D8" s="18" t="s">
        <v>65</v>
      </c>
      <c r="E8" s="18" t="s">
        <v>68</v>
      </c>
      <c r="F8" s="11"/>
    </row>
    <row r="9">
      <c r="A9" s="11">
        <v>4.0</v>
      </c>
      <c r="B9" s="17"/>
      <c r="C9" s="11" t="s">
        <v>70</v>
      </c>
      <c r="D9" s="18" t="s">
        <v>65</v>
      </c>
      <c r="E9" s="18" t="s">
        <v>68</v>
      </c>
      <c r="F9" s="11" t="s">
        <v>71</v>
      </c>
    </row>
    <row r="10">
      <c r="A10" s="11">
        <v>5.0</v>
      </c>
      <c r="B10" s="17"/>
      <c r="C10" s="11" t="s">
        <v>72</v>
      </c>
      <c r="D10" s="18" t="s">
        <v>65</v>
      </c>
      <c r="E10" s="18" t="s">
        <v>68</v>
      </c>
      <c r="F10" s="11" t="s">
        <v>73</v>
      </c>
    </row>
    <row r="11">
      <c r="A11" s="15"/>
      <c r="B11" s="16" t="s">
        <v>74</v>
      </c>
      <c r="C11" s="5"/>
      <c r="D11" s="5"/>
      <c r="E11" s="5"/>
      <c r="F11" s="6"/>
    </row>
    <row r="12">
      <c r="A12" s="11">
        <v>6.0</v>
      </c>
      <c r="B12" s="17"/>
      <c r="C12" s="11" t="s">
        <v>75</v>
      </c>
      <c r="D12" s="18" t="s">
        <v>65</v>
      </c>
      <c r="E12" s="18" t="s">
        <v>68</v>
      </c>
      <c r="F12" s="11" t="s">
        <v>76</v>
      </c>
    </row>
    <row r="13">
      <c r="A13" s="11">
        <v>7.0</v>
      </c>
      <c r="B13" s="17"/>
      <c r="C13" s="11" t="s">
        <v>77</v>
      </c>
      <c r="D13" s="18" t="s">
        <v>65</v>
      </c>
      <c r="E13" s="18" t="s">
        <v>68</v>
      </c>
      <c r="F13" s="11" t="s">
        <v>78</v>
      </c>
    </row>
    <row r="14">
      <c r="A14" s="11">
        <v>8.0</v>
      </c>
      <c r="B14" s="17"/>
      <c r="C14" s="11" t="s">
        <v>79</v>
      </c>
      <c r="D14" s="18" t="s">
        <v>65</v>
      </c>
      <c r="E14" s="18" t="s">
        <v>68</v>
      </c>
      <c r="F14" s="11" t="s">
        <v>80</v>
      </c>
    </row>
    <row r="15">
      <c r="A15" s="11">
        <v>9.0</v>
      </c>
      <c r="B15" s="17"/>
      <c r="C15" s="11" t="s">
        <v>81</v>
      </c>
      <c r="D15" s="18" t="s">
        <v>65</v>
      </c>
      <c r="E15" s="18" t="s">
        <v>68</v>
      </c>
      <c r="F15" s="11"/>
    </row>
    <row r="16">
      <c r="A16" s="15"/>
      <c r="B16" s="16" t="s">
        <v>82</v>
      </c>
      <c r="C16" s="5"/>
      <c r="D16" s="5"/>
      <c r="E16" s="5"/>
      <c r="F16" s="6"/>
    </row>
    <row r="17">
      <c r="A17" s="11">
        <v>10.0</v>
      </c>
      <c r="B17" s="17"/>
      <c r="C17" s="11" t="s">
        <v>83</v>
      </c>
      <c r="D17" s="18" t="s">
        <v>65</v>
      </c>
      <c r="E17" s="18" t="s">
        <v>68</v>
      </c>
      <c r="F17" s="11"/>
    </row>
    <row r="18">
      <c r="A18" s="11">
        <v>11.0</v>
      </c>
      <c r="B18" s="17"/>
      <c r="C18" s="11" t="s">
        <v>84</v>
      </c>
      <c r="D18" s="18" t="s">
        <v>65</v>
      </c>
      <c r="E18" s="18" t="s">
        <v>68</v>
      </c>
      <c r="F18" s="11"/>
    </row>
    <row r="19">
      <c r="A19" s="11">
        <v>12.0</v>
      </c>
      <c r="B19" s="17"/>
      <c r="C19" s="11" t="s">
        <v>85</v>
      </c>
      <c r="D19" s="18" t="s">
        <v>65</v>
      </c>
      <c r="E19" s="18" t="s">
        <v>68</v>
      </c>
      <c r="F19" s="11"/>
    </row>
    <row r="20">
      <c r="A20" s="15"/>
      <c r="B20" s="16" t="s">
        <v>86</v>
      </c>
      <c r="C20" s="5"/>
      <c r="D20" s="5"/>
      <c r="E20" s="5"/>
      <c r="F20" s="6"/>
    </row>
    <row r="21" ht="15.75" customHeight="1">
      <c r="A21" s="11">
        <v>13.0</v>
      </c>
      <c r="B21" s="17"/>
      <c r="C21" s="11" t="s">
        <v>87</v>
      </c>
      <c r="D21" s="18" t="s">
        <v>65</v>
      </c>
      <c r="E21" s="18" t="s">
        <v>68</v>
      </c>
      <c r="F21" s="11" t="s">
        <v>88</v>
      </c>
    </row>
    <row r="22" ht="15.75" customHeight="1">
      <c r="A22" s="11">
        <v>14.0</v>
      </c>
      <c r="B22" s="17"/>
      <c r="C22" s="11" t="s">
        <v>89</v>
      </c>
      <c r="D22" s="18" t="s">
        <v>65</v>
      </c>
      <c r="E22" s="18" t="s">
        <v>68</v>
      </c>
      <c r="F22" s="11"/>
    </row>
    <row r="23" ht="15.75" customHeight="1">
      <c r="A23" s="11">
        <v>15.0</v>
      </c>
      <c r="B23" s="17"/>
      <c r="C23" s="17"/>
      <c r="D23" s="17"/>
      <c r="E23" s="17"/>
      <c r="F23" s="17"/>
    </row>
    <row r="24" ht="15.75" customHeight="1">
      <c r="A24" s="11">
        <v>16.0</v>
      </c>
      <c r="B24" s="17"/>
      <c r="C24" s="17"/>
      <c r="D24" s="17"/>
      <c r="E24" s="17"/>
      <c r="F24" s="17"/>
    </row>
    <row r="25" ht="15.75" customHeight="1">
      <c r="A25" s="11">
        <v>17.0</v>
      </c>
      <c r="B25" s="17"/>
      <c r="C25" s="17"/>
      <c r="D25" s="17"/>
      <c r="E25" s="17"/>
      <c r="F25" s="1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F1"/>
    <mergeCell ref="A2:F2"/>
    <mergeCell ref="B5:F5"/>
    <mergeCell ref="B11:F11"/>
    <mergeCell ref="B16:F16"/>
    <mergeCell ref="B20:F2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3" width="24.0"/>
    <col customWidth="1" min="4" max="4" width="18.0"/>
    <col customWidth="1" min="5" max="5" width="28.0"/>
    <col customWidth="1" min="6" max="6" width="15.0"/>
    <col customWidth="1" min="7" max="8" width="18.0"/>
    <col customWidth="1" min="9" max="9" width="22.0"/>
    <col customWidth="1" min="10" max="26" width="8.71"/>
  </cols>
  <sheetData>
    <row r="1">
      <c r="A1" s="1" t="s">
        <v>90</v>
      </c>
    </row>
    <row r="2">
      <c r="A2" s="2" t="s">
        <v>91</v>
      </c>
    </row>
    <row r="4">
      <c r="A4" s="10" t="s">
        <v>57</v>
      </c>
      <c r="B4" s="10" t="s">
        <v>92</v>
      </c>
      <c r="C4" s="10" t="s">
        <v>93</v>
      </c>
      <c r="D4" s="10" t="s">
        <v>94</v>
      </c>
      <c r="E4" s="10" t="s">
        <v>95</v>
      </c>
      <c r="F4" s="10" t="s">
        <v>96</v>
      </c>
      <c r="G4" s="10" t="s">
        <v>97</v>
      </c>
      <c r="H4" s="10" t="s">
        <v>98</v>
      </c>
      <c r="I4" s="10" t="s">
        <v>62</v>
      </c>
    </row>
    <row r="5">
      <c r="A5" s="13">
        <v>1.0</v>
      </c>
      <c r="B5" s="18" t="s">
        <v>12</v>
      </c>
      <c r="C5" s="18" t="s">
        <v>11</v>
      </c>
      <c r="D5" s="11"/>
      <c r="E5" s="11"/>
      <c r="F5" s="11"/>
      <c r="G5" s="11"/>
      <c r="H5" s="11">
        <v>40.0</v>
      </c>
      <c r="I5" s="11"/>
    </row>
    <row r="6">
      <c r="A6" s="13">
        <v>2.0</v>
      </c>
      <c r="B6" s="18" t="s">
        <v>99</v>
      </c>
      <c r="C6" s="18" t="s">
        <v>100</v>
      </c>
      <c r="D6" s="11"/>
      <c r="E6" s="11"/>
      <c r="F6" s="11"/>
      <c r="G6" s="11"/>
      <c r="H6" s="11">
        <v>40.0</v>
      </c>
      <c r="I6" s="11"/>
    </row>
    <row r="7">
      <c r="A7" s="13">
        <v>3.0</v>
      </c>
      <c r="B7" s="18" t="s">
        <v>99</v>
      </c>
      <c r="C7" s="18" t="s">
        <v>101</v>
      </c>
      <c r="D7" s="11"/>
      <c r="E7" s="11"/>
      <c r="F7" s="11"/>
      <c r="G7" s="11"/>
      <c r="H7" s="11">
        <v>40.0</v>
      </c>
      <c r="I7" s="11"/>
    </row>
    <row r="8">
      <c r="A8" s="13">
        <v>4.0</v>
      </c>
      <c r="B8" s="18" t="s">
        <v>99</v>
      </c>
      <c r="C8" s="18" t="s">
        <v>102</v>
      </c>
      <c r="D8" s="11"/>
      <c r="E8" s="11"/>
      <c r="F8" s="11"/>
      <c r="G8" s="11"/>
      <c r="H8" s="11">
        <v>40.0</v>
      </c>
      <c r="I8" s="11"/>
    </row>
    <row r="10">
      <c r="A10" s="19" t="s">
        <v>103</v>
      </c>
    </row>
    <row r="11">
      <c r="A11" s="10" t="s">
        <v>104</v>
      </c>
      <c r="B11" s="10" t="s">
        <v>105</v>
      </c>
      <c r="C11" s="10" t="s">
        <v>106</v>
      </c>
      <c r="D11" s="10" t="s">
        <v>107</v>
      </c>
    </row>
    <row r="12">
      <c r="A12" s="11" t="s">
        <v>108</v>
      </c>
      <c r="B12" s="11" t="s">
        <v>109</v>
      </c>
      <c r="C12" s="11" t="s">
        <v>110</v>
      </c>
      <c r="D12" s="11" t="s">
        <v>111</v>
      </c>
    </row>
    <row r="13">
      <c r="A13" s="12" t="s">
        <v>112</v>
      </c>
      <c r="B13" s="12" t="s">
        <v>113</v>
      </c>
      <c r="C13" s="12" t="s">
        <v>114</v>
      </c>
      <c r="D13" s="12" t="s">
        <v>115</v>
      </c>
    </row>
    <row r="14">
      <c r="A14" s="11" t="s">
        <v>116</v>
      </c>
      <c r="B14" s="11" t="s">
        <v>117</v>
      </c>
      <c r="C14" s="11" t="s">
        <v>118</v>
      </c>
      <c r="D14" s="11" t="s">
        <v>119</v>
      </c>
    </row>
    <row r="15">
      <c r="A15" s="12" t="s">
        <v>120</v>
      </c>
      <c r="B15" s="12" t="s">
        <v>121</v>
      </c>
      <c r="C15" s="12" t="s">
        <v>122</v>
      </c>
      <c r="D15" s="12" t="s">
        <v>123</v>
      </c>
    </row>
    <row r="16">
      <c r="A16" s="11" t="s">
        <v>124</v>
      </c>
      <c r="B16" s="11" t="s">
        <v>125</v>
      </c>
      <c r="C16" s="11" t="s">
        <v>126</v>
      </c>
      <c r="D16" s="11" t="s">
        <v>127</v>
      </c>
    </row>
    <row r="17">
      <c r="A17" s="12" t="s">
        <v>128</v>
      </c>
      <c r="B17" s="12" t="s">
        <v>129</v>
      </c>
      <c r="C17" s="12" t="s">
        <v>130</v>
      </c>
      <c r="D17" s="12"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10:I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8.0"/>
    <col customWidth="1" min="3" max="3" width="21.14"/>
    <col customWidth="1" min="4" max="4" width="22.71"/>
    <col customWidth="1" min="5" max="6" width="22.0"/>
    <col customWidth="1" min="7" max="9" width="14.0"/>
    <col customWidth="1" min="10" max="10" width="16.0"/>
    <col customWidth="1" min="11" max="26" width="8.71"/>
  </cols>
  <sheetData>
    <row r="1">
      <c r="A1" s="1" t="s">
        <v>132</v>
      </c>
    </row>
    <row r="2">
      <c r="A2" s="2" t="s">
        <v>133</v>
      </c>
    </row>
    <row r="4">
      <c r="A4" s="10" t="s">
        <v>134</v>
      </c>
      <c r="B4" s="10" t="s">
        <v>135</v>
      </c>
      <c r="C4" s="10" t="s">
        <v>136</v>
      </c>
      <c r="D4" s="10" t="s">
        <v>137</v>
      </c>
      <c r="E4" s="10" t="s">
        <v>138</v>
      </c>
      <c r="F4" s="10" t="s">
        <v>139</v>
      </c>
      <c r="G4" s="10" t="s">
        <v>140</v>
      </c>
      <c r="H4" s="10" t="s">
        <v>31</v>
      </c>
      <c r="I4" s="10" t="s">
        <v>141</v>
      </c>
      <c r="J4" s="10" t="s">
        <v>142</v>
      </c>
    </row>
    <row r="5">
      <c r="A5" s="11" t="s">
        <v>143</v>
      </c>
      <c r="B5" s="11" t="s">
        <v>144</v>
      </c>
      <c r="C5" s="11" t="s">
        <v>145</v>
      </c>
      <c r="D5" s="11" t="s">
        <v>146</v>
      </c>
      <c r="E5" s="11" t="s">
        <v>147</v>
      </c>
      <c r="F5" s="11" t="s">
        <v>148</v>
      </c>
      <c r="G5" s="11" t="s">
        <v>149</v>
      </c>
      <c r="H5" s="11" t="s">
        <v>150</v>
      </c>
      <c r="I5" s="11" t="s">
        <v>32</v>
      </c>
      <c r="J5" s="11"/>
    </row>
    <row r="6">
      <c r="A6" s="12" t="s">
        <v>151</v>
      </c>
      <c r="B6" s="12"/>
      <c r="C6" s="12"/>
      <c r="D6" s="12"/>
      <c r="E6" s="12"/>
      <c r="F6" s="12"/>
      <c r="G6" s="12"/>
      <c r="H6" s="12"/>
      <c r="I6" s="12"/>
      <c r="J6" s="12"/>
    </row>
    <row r="7">
      <c r="A7" s="11" t="s">
        <v>152</v>
      </c>
      <c r="B7" s="11"/>
      <c r="C7" s="11"/>
      <c r="D7" s="11"/>
      <c r="E7" s="11"/>
      <c r="F7" s="11"/>
      <c r="G7" s="11"/>
      <c r="H7" s="11"/>
      <c r="I7" s="11"/>
      <c r="J7" s="11"/>
    </row>
    <row r="8">
      <c r="A8" s="12" t="s">
        <v>153</v>
      </c>
      <c r="B8" s="12"/>
      <c r="C8" s="12"/>
      <c r="D8" s="12"/>
      <c r="E8" s="12"/>
      <c r="F8" s="12"/>
      <c r="G8" s="12"/>
      <c r="H8" s="12"/>
      <c r="I8" s="12"/>
      <c r="J8" s="12"/>
    </row>
    <row r="9">
      <c r="A9" s="11" t="s">
        <v>154</v>
      </c>
      <c r="B9" s="11"/>
      <c r="C9" s="11"/>
      <c r="D9" s="11"/>
      <c r="E9" s="11"/>
      <c r="F9" s="11"/>
      <c r="G9" s="11"/>
      <c r="H9" s="11"/>
      <c r="I9" s="11"/>
      <c r="J9" s="11"/>
    </row>
    <row r="10">
      <c r="A10" s="12" t="s">
        <v>155</v>
      </c>
      <c r="B10" s="12"/>
      <c r="C10" s="12"/>
      <c r="D10" s="12"/>
      <c r="E10" s="12"/>
      <c r="F10" s="12"/>
      <c r="G10" s="12"/>
      <c r="H10" s="12"/>
      <c r="I10" s="12"/>
      <c r="J10" s="12"/>
    </row>
    <row r="11">
      <c r="A11" s="11" t="s">
        <v>156</v>
      </c>
      <c r="B11" s="11"/>
      <c r="C11" s="11"/>
      <c r="D11" s="11"/>
      <c r="E11" s="11"/>
      <c r="F11" s="11"/>
      <c r="G11" s="11"/>
      <c r="H11" s="11"/>
      <c r="I11" s="11"/>
      <c r="J11" s="11"/>
    </row>
    <row r="12">
      <c r="A12" s="12" t="s">
        <v>157</v>
      </c>
      <c r="B12" s="12"/>
      <c r="C12" s="12"/>
      <c r="D12" s="12"/>
      <c r="E12" s="12"/>
      <c r="F12" s="12"/>
      <c r="G12" s="12"/>
      <c r="H12" s="12"/>
      <c r="I12" s="12"/>
      <c r="J12" s="12"/>
    </row>
    <row r="13">
      <c r="A13" s="11" t="s">
        <v>158</v>
      </c>
      <c r="B13" s="11"/>
      <c r="C13" s="11"/>
      <c r="D13" s="11"/>
      <c r="E13" s="11"/>
      <c r="F13" s="11"/>
      <c r="G13" s="11"/>
      <c r="H13" s="11"/>
      <c r="I13" s="11"/>
      <c r="J13" s="11"/>
    </row>
    <row r="14">
      <c r="A14" s="12" t="s">
        <v>159</v>
      </c>
      <c r="B14" s="12"/>
      <c r="C14" s="12"/>
      <c r="D14" s="12"/>
      <c r="E14" s="12"/>
      <c r="F14" s="12"/>
      <c r="G14" s="12"/>
      <c r="H14" s="12"/>
      <c r="I14" s="12"/>
      <c r="J14" s="12"/>
    </row>
    <row r="15">
      <c r="A15" s="11" t="s">
        <v>160</v>
      </c>
      <c r="B15" s="11"/>
      <c r="C15" s="11"/>
      <c r="D15" s="11"/>
      <c r="E15" s="11"/>
      <c r="F15" s="11"/>
      <c r="G15" s="11"/>
      <c r="H15" s="11"/>
      <c r="I15" s="11"/>
      <c r="J15" s="11"/>
    </row>
    <row r="16">
      <c r="A16" s="12" t="s">
        <v>161</v>
      </c>
      <c r="B16" s="12"/>
      <c r="C16" s="12"/>
      <c r="D16" s="12"/>
      <c r="E16" s="12"/>
      <c r="F16" s="12"/>
      <c r="G16" s="12"/>
      <c r="H16" s="12"/>
      <c r="I16" s="12"/>
      <c r="J16" s="12"/>
    </row>
    <row r="17">
      <c r="A17" s="11" t="s">
        <v>162</v>
      </c>
      <c r="B17" s="11"/>
      <c r="C17" s="11"/>
      <c r="D17" s="11"/>
      <c r="E17" s="11"/>
      <c r="F17" s="11"/>
      <c r="G17" s="11"/>
      <c r="H17" s="11"/>
      <c r="I17" s="11"/>
      <c r="J17" s="11"/>
    </row>
    <row r="18">
      <c r="A18" s="12" t="s">
        <v>163</v>
      </c>
      <c r="B18" s="12"/>
      <c r="C18" s="12"/>
      <c r="D18" s="12"/>
      <c r="E18" s="12"/>
      <c r="F18" s="12"/>
      <c r="G18" s="12"/>
      <c r="H18" s="12"/>
      <c r="I18" s="12"/>
      <c r="J18" s="12"/>
    </row>
    <row r="19">
      <c r="A19" s="11" t="s">
        <v>164</v>
      </c>
      <c r="B19" s="11"/>
      <c r="C19" s="11"/>
      <c r="D19" s="11"/>
      <c r="E19" s="11"/>
      <c r="F19" s="11"/>
      <c r="G19" s="11"/>
      <c r="H19" s="11"/>
      <c r="I19" s="11"/>
      <c r="J19" s="11"/>
    </row>
    <row r="20">
      <c r="A20" s="12" t="s">
        <v>165</v>
      </c>
      <c r="B20" s="12"/>
      <c r="C20" s="12"/>
      <c r="D20" s="12"/>
      <c r="E20" s="12"/>
      <c r="F20" s="12"/>
      <c r="G20" s="12"/>
      <c r="H20" s="12"/>
      <c r="I20" s="12"/>
      <c r="J20" s="12"/>
    </row>
    <row r="21" ht="15.75" customHeight="1">
      <c r="A21" s="11" t="s">
        <v>166</v>
      </c>
      <c r="B21" s="11"/>
      <c r="C21" s="11"/>
      <c r="D21" s="11"/>
      <c r="E21" s="11"/>
      <c r="F21" s="11"/>
      <c r="G21" s="11"/>
      <c r="H21" s="11"/>
      <c r="I21" s="11"/>
      <c r="J21" s="11"/>
    </row>
    <row r="22" ht="15.75" customHeight="1">
      <c r="A22" s="12" t="s">
        <v>167</v>
      </c>
      <c r="B22" s="12"/>
      <c r="C22" s="12"/>
      <c r="D22" s="12"/>
      <c r="E22" s="12"/>
      <c r="F22" s="12"/>
      <c r="G22" s="12"/>
      <c r="H22" s="12"/>
      <c r="I22" s="12"/>
      <c r="J22" s="12"/>
    </row>
    <row r="23" ht="15.75" customHeight="1">
      <c r="A23" s="11" t="s">
        <v>168</v>
      </c>
      <c r="B23" s="11"/>
      <c r="C23" s="11"/>
      <c r="D23" s="11"/>
      <c r="E23" s="11"/>
      <c r="F23" s="11"/>
      <c r="G23" s="11"/>
      <c r="H23" s="11"/>
      <c r="I23" s="11"/>
      <c r="J23" s="11"/>
    </row>
    <row r="24" ht="15.75" customHeight="1">
      <c r="A24" s="12" t="s">
        <v>169</v>
      </c>
      <c r="B24" s="12"/>
      <c r="C24" s="12"/>
      <c r="D24" s="12"/>
      <c r="E24" s="12"/>
      <c r="F24" s="12"/>
      <c r="G24" s="12"/>
      <c r="H24" s="12"/>
      <c r="I24" s="12"/>
      <c r="J24" s="12"/>
    </row>
    <row r="25" ht="15.75" customHeight="1">
      <c r="A25" s="11" t="s">
        <v>170</v>
      </c>
      <c r="B25" s="11"/>
      <c r="C25" s="11"/>
      <c r="D25" s="11"/>
      <c r="E25" s="11"/>
      <c r="F25" s="11"/>
      <c r="G25" s="11"/>
      <c r="H25" s="11"/>
      <c r="I25" s="11"/>
      <c r="J25" s="11"/>
    </row>
    <row r="26" ht="15.75" customHeight="1">
      <c r="A26" s="12" t="s">
        <v>171</v>
      </c>
      <c r="B26" s="12"/>
      <c r="C26" s="12"/>
      <c r="D26" s="12"/>
      <c r="E26" s="12"/>
      <c r="F26" s="12"/>
      <c r="G26" s="12"/>
      <c r="H26" s="12"/>
      <c r="I26" s="12"/>
      <c r="J26" s="12"/>
    </row>
    <row r="27" ht="15.75" customHeight="1">
      <c r="A27" s="11" t="s">
        <v>172</v>
      </c>
      <c r="B27" s="11"/>
      <c r="C27" s="11"/>
      <c r="D27" s="11"/>
      <c r="E27" s="11"/>
      <c r="F27" s="11"/>
      <c r="G27" s="11"/>
      <c r="H27" s="11"/>
      <c r="I27" s="11"/>
      <c r="J27" s="11"/>
    </row>
    <row r="28" ht="15.75" customHeight="1">
      <c r="A28" s="12" t="s">
        <v>173</v>
      </c>
      <c r="B28" s="12"/>
      <c r="C28" s="12"/>
      <c r="D28" s="12"/>
      <c r="E28" s="12"/>
      <c r="F28" s="12"/>
      <c r="G28" s="12"/>
      <c r="H28" s="12"/>
      <c r="I28" s="12"/>
      <c r="J28" s="12"/>
    </row>
    <row r="29" ht="15.75" customHeight="1">
      <c r="A29" s="11" t="s">
        <v>174</v>
      </c>
      <c r="B29" s="11"/>
      <c r="C29" s="11"/>
      <c r="D29" s="11"/>
      <c r="E29" s="11"/>
      <c r="F29" s="11"/>
      <c r="G29" s="11"/>
      <c r="H29" s="11"/>
      <c r="I29" s="11"/>
      <c r="J29" s="11"/>
    </row>
    <row r="30" ht="15.75" customHeight="1">
      <c r="A30" s="12" t="s">
        <v>175</v>
      </c>
      <c r="B30" s="12"/>
      <c r="C30" s="12"/>
      <c r="D30" s="12"/>
      <c r="E30" s="12"/>
      <c r="F30" s="12"/>
      <c r="G30" s="12"/>
      <c r="H30" s="12"/>
      <c r="I30" s="12"/>
      <c r="J30" s="12"/>
    </row>
    <row r="31" ht="15.75" customHeight="1">
      <c r="A31" s="11" t="s">
        <v>176</v>
      </c>
      <c r="B31" s="11"/>
      <c r="C31" s="11"/>
      <c r="D31" s="11"/>
      <c r="E31" s="11"/>
      <c r="F31" s="11"/>
      <c r="G31" s="11"/>
      <c r="H31" s="11"/>
      <c r="I31" s="11"/>
      <c r="J31" s="11"/>
    </row>
    <row r="32" ht="15.75" customHeight="1">
      <c r="A32" s="12" t="s">
        <v>177</v>
      </c>
      <c r="B32" s="12"/>
      <c r="C32" s="12"/>
      <c r="D32" s="12"/>
      <c r="E32" s="12"/>
      <c r="F32" s="12"/>
      <c r="G32" s="12"/>
      <c r="H32" s="12"/>
      <c r="I32" s="12"/>
      <c r="J32" s="12"/>
    </row>
    <row r="33" ht="15.75" customHeight="1"/>
    <row r="34" ht="15.75" customHeight="1">
      <c r="A34" s="20" t="s">
        <v>178</v>
      </c>
    </row>
    <row r="35" ht="15.75" customHeight="1">
      <c r="A35" s="21" t="s">
        <v>149</v>
      </c>
      <c r="B35" s="22" t="s">
        <v>179</v>
      </c>
    </row>
    <row r="36" ht="15.75" customHeight="1">
      <c r="A36" s="23" t="s">
        <v>180</v>
      </c>
      <c r="B36" s="22" t="s">
        <v>181</v>
      </c>
    </row>
    <row r="37" ht="15.75" customHeight="1">
      <c r="A37" s="24" t="s">
        <v>182</v>
      </c>
      <c r="B37" s="22" t="s">
        <v>183</v>
      </c>
    </row>
    <row r="38" ht="15.75" customHeight="1">
      <c r="A38" s="22" t="s">
        <v>184</v>
      </c>
      <c r="B38" s="22" t="s">
        <v>185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conditionalFormatting sqref="H5:H32">
    <cfRule type="cellIs" dxfId="0" priority="1" operator="equal">
      <formula>"Hoàn thành"</formula>
    </cfRule>
  </conditionalFormatting>
  <conditionalFormatting sqref="H5:H32">
    <cfRule type="cellIs" dxfId="1" priority="2" operator="equal">
      <formula>"Đang làm"</formula>
    </cfRule>
  </conditionalFormatting>
  <conditionalFormatting sqref="H5:H32">
    <cfRule type="cellIs" dxfId="2" priority="3" operator="equal">
      <formula>"Bị kẹt"</formula>
    </cfRule>
  </conditionalFormatting>
  <conditionalFormatting sqref="H5:H32">
    <cfRule type="cellIs" dxfId="3" priority="4" operator="equal">
      <formula>"Chưa bắt đầu"</formula>
    </cfRule>
  </conditionalFormatting>
  <dataValidations>
    <dataValidation type="list" allowBlank="1" sqref="I5:I32">
      <formula1>"Sprint 1,Sprint 2,Sprint 3,Sprint 4"</formula1>
    </dataValidation>
    <dataValidation type="list" allowBlank="1" sqref="H5:H32">
      <formula1>"Chưa làm,Đang làm,Đang review,Hoàn thành,Bị kẹt,Không làm"</formula1>
    </dataValidation>
    <dataValidation type="list" allowBlank="1" sqref="G5:G32">
      <formula1>"Bắt buộc,Nên có,Có thì tốt,Không làm"</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8.0"/>
    <col customWidth="1" min="3" max="3" width="42.0"/>
    <col customWidth="1" min="4" max="4" width="8.0"/>
    <col customWidth="1" min="5" max="6" width="14.0"/>
    <col customWidth="1" min="7" max="7" width="24.0"/>
    <col customWidth="1" min="8" max="8" width="14.0"/>
    <col customWidth="1" min="9" max="9" width="35.0"/>
    <col customWidth="1" min="10" max="26" width="8.71"/>
  </cols>
  <sheetData>
    <row r="1">
      <c r="A1" s="1" t="s">
        <v>186</v>
      </c>
    </row>
    <row r="2">
      <c r="A2" s="2" t="s">
        <v>187</v>
      </c>
    </row>
    <row r="4">
      <c r="A4" s="10" t="s">
        <v>134</v>
      </c>
      <c r="B4" s="10" t="s">
        <v>188</v>
      </c>
      <c r="C4" s="10" t="s">
        <v>189</v>
      </c>
      <c r="D4" s="10" t="s">
        <v>190</v>
      </c>
      <c r="E4" s="10" t="s">
        <v>26</v>
      </c>
      <c r="F4" s="10" t="s">
        <v>27</v>
      </c>
      <c r="G4" s="10" t="s">
        <v>191</v>
      </c>
      <c r="H4" s="10" t="s">
        <v>31</v>
      </c>
      <c r="I4" s="10" t="s">
        <v>192</v>
      </c>
    </row>
    <row r="5">
      <c r="A5" s="11" t="s">
        <v>193</v>
      </c>
      <c r="B5" s="11" t="s">
        <v>194</v>
      </c>
      <c r="C5" s="11" t="s">
        <v>195</v>
      </c>
      <c r="D5" s="11" t="s">
        <v>196</v>
      </c>
      <c r="E5" s="11"/>
      <c r="F5" s="11"/>
      <c r="G5" s="11" t="s">
        <v>11</v>
      </c>
      <c r="H5" s="11" t="s">
        <v>34</v>
      </c>
      <c r="I5" s="11" t="s">
        <v>197</v>
      </c>
    </row>
    <row r="6">
      <c r="A6" s="12" t="s">
        <v>198</v>
      </c>
      <c r="B6" s="12" t="s">
        <v>199</v>
      </c>
      <c r="C6" s="12" t="s">
        <v>200</v>
      </c>
      <c r="D6" s="12" t="s">
        <v>196</v>
      </c>
      <c r="E6" s="12"/>
      <c r="F6" s="12"/>
      <c r="G6" s="12" t="s">
        <v>201</v>
      </c>
      <c r="H6" s="12" t="s">
        <v>34</v>
      </c>
      <c r="I6" s="12" t="s">
        <v>202</v>
      </c>
    </row>
    <row r="7">
      <c r="A7" s="11" t="s">
        <v>203</v>
      </c>
      <c r="B7" s="11" t="s">
        <v>204</v>
      </c>
      <c r="C7" s="11" t="s">
        <v>205</v>
      </c>
      <c r="D7" s="11" t="s">
        <v>206</v>
      </c>
      <c r="E7" s="11"/>
      <c r="F7" s="11"/>
      <c r="G7" s="11" t="s">
        <v>207</v>
      </c>
      <c r="H7" s="11" t="s">
        <v>34</v>
      </c>
      <c r="I7" s="11" t="s">
        <v>208</v>
      </c>
    </row>
    <row r="8">
      <c r="A8" s="12" t="s">
        <v>209</v>
      </c>
      <c r="B8" s="12" t="s">
        <v>210</v>
      </c>
      <c r="C8" s="12" t="s">
        <v>211</v>
      </c>
      <c r="D8" s="12" t="s">
        <v>212</v>
      </c>
      <c r="E8" s="12"/>
      <c r="F8" s="12"/>
      <c r="G8" s="12" t="s">
        <v>213</v>
      </c>
      <c r="H8" s="12" t="s">
        <v>34</v>
      </c>
      <c r="I8" s="12" t="s">
        <v>214</v>
      </c>
    </row>
    <row r="9">
      <c r="A9" s="11" t="s">
        <v>215</v>
      </c>
      <c r="B9" s="11" t="s">
        <v>216</v>
      </c>
      <c r="C9" s="11" t="s">
        <v>217</v>
      </c>
      <c r="D9" s="11" t="s">
        <v>218</v>
      </c>
      <c r="E9" s="11"/>
      <c r="F9" s="11"/>
      <c r="G9" s="11" t="s">
        <v>207</v>
      </c>
      <c r="H9" s="11" t="s">
        <v>34</v>
      </c>
      <c r="I9" s="11" t="s">
        <v>219</v>
      </c>
    </row>
    <row r="10">
      <c r="A10" s="12" t="s">
        <v>220</v>
      </c>
      <c r="B10" s="12" t="s">
        <v>221</v>
      </c>
      <c r="C10" s="12" t="s">
        <v>222</v>
      </c>
      <c r="D10" s="12" t="s">
        <v>223</v>
      </c>
      <c r="E10" s="12"/>
      <c r="F10" s="12"/>
      <c r="G10" s="12" t="s">
        <v>213</v>
      </c>
      <c r="H10" s="12" t="s">
        <v>34</v>
      </c>
      <c r="I10" s="12" t="s">
        <v>224</v>
      </c>
    </row>
    <row r="11">
      <c r="A11" s="11" t="s">
        <v>225</v>
      </c>
      <c r="B11" s="11" t="s">
        <v>226</v>
      </c>
      <c r="C11" s="11" t="s">
        <v>227</v>
      </c>
      <c r="D11" s="11" t="s">
        <v>228</v>
      </c>
      <c r="E11" s="11"/>
      <c r="F11" s="11"/>
      <c r="G11" s="11" t="s">
        <v>207</v>
      </c>
      <c r="H11" s="11" t="s">
        <v>34</v>
      </c>
      <c r="I11" s="11" t="s">
        <v>229</v>
      </c>
    </row>
    <row r="12">
      <c r="A12" s="12" t="s">
        <v>230</v>
      </c>
      <c r="B12" s="12" t="s">
        <v>231</v>
      </c>
      <c r="C12" s="12" t="s">
        <v>232</v>
      </c>
      <c r="D12" s="12" t="s">
        <v>228</v>
      </c>
      <c r="E12" s="12"/>
      <c r="F12" s="12"/>
      <c r="G12" s="12" t="s">
        <v>213</v>
      </c>
      <c r="H12" s="12" t="s">
        <v>34</v>
      </c>
      <c r="I12" s="12" t="s">
        <v>233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conditionalFormatting sqref="H5:H12">
    <cfRule type="cellIs" dxfId="0" priority="1" operator="equal">
      <formula>"Hoàn thành"</formula>
    </cfRule>
  </conditionalFormatting>
  <conditionalFormatting sqref="H5:H12">
    <cfRule type="cellIs" dxfId="1" priority="2" operator="equal">
      <formula>"Đang làm"</formula>
    </cfRule>
  </conditionalFormatting>
  <conditionalFormatting sqref="H5:H12">
    <cfRule type="cellIs" dxfId="2" priority="3" operator="equal">
      <formula>"Bị kẹt"</formula>
    </cfRule>
  </conditionalFormatting>
  <conditionalFormatting sqref="H5:H12">
    <cfRule type="cellIs" dxfId="3" priority="4" operator="equal">
      <formula>"Chưa bắt đầu"</formula>
    </cfRule>
  </conditionalFormatting>
  <dataValidations>
    <dataValidation type="list" allowBlank="1" sqref="H5:H12">
      <formula1>"Chưa bắt đầu,Đang làm,Hoàn thành,Bị trễ,Bỏ qua"</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0.0"/>
    <col customWidth="1" min="3" max="3" width="30.0"/>
    <col customWidth="1" min="4" max="4" width="14.0"/>
    <col customWidth="1" min="5" max="5" width="32.0"/>
    <col customWidth="1" min="6" max="6" width="12.0"/>
    <col customWidth="1" min="7" max="7" width="10.0"/>
    <col customWidth="1" min="8" max="8" width="12.0"/>
    <col customWidth="1" min="9" max="9" width="18.0"/>
    <col customWidth="1" min="10" max="11" width="12.0"/>
    <col customWidth="1" min="12" max="13" width="18.0"/>
    <col customWidth="1" min="14" max="14" width="20.0"/>
    <col customWidth="1" min="15" max="26" width="8.71"/>
  </cols>
  <sheetData>
    <row r="1">
      <c r="A1" s="1" t="s">
        <v>234</v>
      </c>
    </row>
    <row r="2">
      <c r="A2" s="2" t="s">
        <v>235</v>
      </c>
    </row>
    <row r="4">
      <c r="A4" s="10" t="s">
        <v>57</v>
      </c>
      <c r="B4" s="10" t="s">
        <v>236</v>
      </c>
      <c r="C4" s="10" t="s">
        <v>237</v>
      </c>
      <c r="D4" s="10" t="s">
        <v>238</v>
      </c>
      <c r="E4" s="10" t="s">
        <v>189</v>
      </c>
      <c r="F4" s="10" t="s">
        <v>24</v>
      </c>
      <c r="G4" s="10" t="s">
        <v>239</v>
      </c>
      <c r="H4" s="10" t="s">
        <v>240</v>
      </c>
      <c r="I4" s="10" t="s">
        <v>241</v>
      </c>
      <c r="J4" s="10" t="s">
        <v>242</v>
      </c>
      <c r="K4" s="10" t="s">
        <v>31</v>
      </c>
      <c r="L4" s="10" t="s">
        <v>243</v>
      </c>
      <c r="M4" s="10" t="s">
        <v>244</v>
      </c>
      <c r="N4" s="10" t="s">
        <v>62</v>
      </c>
    </row>
    <row r="5">
      <c r="A5" s="15"/>
      <c r="B5" s="16" t="s">
        <v>245</v>
      </c>
      <c r="C5" s="5"/>
      <c r="D5" s="5"/>
      <c r="E5" s="5"/>
      <c r="F5" s="5"/>
      <c r="G5" s="5"/>
      <c r="H5" s="5"/>
      <c r="I5" s="5"/>
      <c r="J5" s="5"/>
      <c r="K5" s="5"/>
      <c r="L5" s="5"/>
      <c r="M5" s="5"/>
      <c r="N5" s="6"/>
    </row>
    <row r="6">
      <c r="A6" s="25">
        <v>1.0</v>
      </c>
      <c r="B6" s="11" t="s">
        <v>246</v>
      </c>
      <c r="C6" s="11" t="s">
        <v>247</v>
      </c>
      <c r="D6" s="11" t="s">
        <v>143</v>
      </c>
      <c r="E6" s="11" t="s">
        <v>248</v>
      </c>
      <c r="F6" s="11" t="s">
        <v>32</v>
      </c>
      <c r="G6" s="11" t="s">
        <v>249</v>
      </c>
      <c r="H6" s="11" t="s">
        <v>250</v>
      </c>
      <c r="I6" s="18" t="s">
        <v>12</v>
      </c>
      <c r="J6" s="11"/>
      <c r="K6" s="11" t="s">
        <v>150</v>
      </c>
      <c r="L6" s="11"/>
      <c r="M6" s="11"/>
      <c r="N6" s="11"/>
    </row>
    <row r="7">
      <c r="A7" s="25">
        <v>2.0</v>
      </c>
      <c r="B7" s="11" t="s">
        <v>251</v>
      </c>
      <c r="C7" s="11" t="s">
        <v>252</v>
      </c>
      <c r="D7" s="11" t="s">
        <v>253</v>
      </c>
      <c r="E7" s="11" t="s">
        <v>254</v>
      </c>
      <c r="F7" s="11" t="s">
        <v>32</v>
      </c>
      <c r="G7" s="11" t="s">
        <v>249</v>
      </c>
      <c r="H7" s="11" t="s">
        <v>255</v>
      </c>
      <c r="I7" s="18" t="s">
        <v>68</v>
      </c>
      <c r="J7" s="11"/>
      <c r="K7" s="11" t="s">
        <v>150</v>
      </c>
      <c r="L7" s="11"/>
      <c r="M7" s="11"/>
      <c r="N7" s="11"/>
    </row>
    <row r="8">
      <c r="A8" s="25">
        <v>3.0</v>
      </c>
      <c r="B8" s="11" t="s">
        <v>256</v>
      </c>
      <c r="C8" s="11" t="s">
        <v>257</v>
      </c>
      <c r="D8" s="11" t="s">
        <v>143</v>
      </c>
      <c r="E8" s="11" t="s">
        <v>258</v>
      </c>
      <c r="F8" s="11" t="s">
        <v>32</v>
      </c>
      <c r="G8" s="11" t="s">
        <v>249</v>
      </c>
      <c r="H8" s="11" t="s">
        <v>259</v>
      </c>
      <c r="I8" s="18" t="s">
        <v>68</v>
      </c>
      <c r="J8" s="11"/>
      <c r="K8" s="11" t="s">
        <v>150</v>
      </c>
      <c r="L8" s="11"/>
      <c r="M8" s="11"/>
      <c r="N8" s="11"/>
    </row>
    <row r="9">
      <c r="A9" s="25">
        <v>4.0</v>
      </c>
      <c r="B9" s="11" t="s">
        <v>260</v>
      </c>
      <c r="C9" s="11" t="s">
        <v>199</v>
      </c>
      <c r="D9" s="11" t="s">
        <v>253</v>
      </c>
      <c r="E9" s="11" t="s">
        <v>261</v>
      </c>
      <c r="F9" s="11" t="s">
        <v>32</v>
      </c>
      <c r="G9" s="11" t="s">
        <v>249</v>
      </c>
      <c r="H9" s="11" t="s">
        <v>255</v>
      </c>
      <c r="I9" s="18" t="s">
        <v>12</v>
      </c>
      <c r="J9" s="11"/>
      <c r="K9" s="11" t="s">
        <v>150</v>
      </c>
      <c r="L9" s="11"/>
      <c r="M9" s="11"/>
      <c r="N9" s="11"/>
    </row>
    <row r="10">
      <c r="A10" s="25">
        <v>5.0</v>
      </c>
      <c r="B10" s="11" t="s">
        <v>262</v>
      </c>
      <c r="C10" s="11" t="s">
        <v>263</v>
      </c>
      <c r="D10" s="11" t="s">
        <v>151</v>
      </c>
      <c r="E10" s="11" t="s">
        <v>264</v>
      </c>
      <c r="F10" s="11" t="s">
        <v>32</v>
      </c>
      <c r="G10" s="11" t="s">
        <v>265</v>
      </c>
      <c r="H10" s="11" t="s">
        <v>266</v>
      </c>
      <c r="I10" s="18" t="s">
        <v>68</v>
      </c>
      <c r="J10" s="11"/>
      <c r="K10" s="11" t="s">
        <v>150</v>
      </c>
      <c r="L10" s="11"/>
      <c r="M10" s="11"/>
      <c r="N10" s="11"/>
    </row>
    <row r="11">
      <c r="A11" s="15"/>
      <c r="B11" s="16" t="s">
        <v>267</v>
      </c>
      <c r="C11" s="5"/>
      <c r="D11" s="5"/>
      <c r="E11" s="5"/>
      <c r="F11" s="5"/>
      <c r="G11" s="5"/>
      <c r="H11" s="5"/>
      <c r="I11" s="5"/>
      <c r="J11" s="5"/>
      <c r="K11" s="5"/>
      <c r="L11" s="5"/>
      <c r="M11" s="5"/>
      <c r="N11" s="6"/>
    </row>
    <row r="12">
      <c r="A12" s="25">
        <v>6.0</v>
      </c>
      <c r="B12" s="11" t="s">
        <v>268</v>
      </c>
      <c r="C12" s="11" t="s">
        <v>269</v>
      </c>
      <c r="D12" s="11" t="s">
        <v>152</v>
      </c>
      <c r="E12" s="11" t="s">
        <v>270</v>
      </c>
      <c r="F12" s="11" t="s">
        <v>35</v>
      </c>
      <c r="G12" s="11" t="s">
        <v>249</v>
      </c>
      <c r="H12" s="11" t="s">
        <v>271</v>
      </c>
      <c r="I12" s="18" t="s">
        <v>68</v>
      </c>
      <c r="J12" s="11"/>
      <c r="K12" s="11" t="s">
        <v>150</v>
      </c>
      <c r="L12" s="11"/>
      <c r="M12" s="11"/>
      <c r="N12" s="11"/>
    </row>
    <row r="13">
      <c r="A13" s="25">
        <v>7.0</v>
      </c>
      <c r="B13" s="11" t="s">
        <v>272</v>
      </c>
      <c r="C13" s="11" t="s">
        <v>273</v>
      </c>
      <c r="D13" s="11" t="s">
        <v>152</v>
      </c>
      <c r="E13" s="11" t="s">
        <v>274</v>
      </c>
      <c r="F13" s="11" t="s">
        <v>35</v>
      </c>
      <c r="G13" s="11" t="s">
        <v>249</v>
      </c>
      <c r="H13" s="11" t="s">
        <v>271</v>
      </c>
      <c r="I13" s="18" t="s">
        <v>68</v>
      </c>
      <c r="J13" s="11"/>
      <c r="K13" s="11" t="s">
        <v>150</v>
      </c>
      <c r="L13" s="11"/>
      <c r="M13" s="11"/>
      <c r="N13" s="11"/>
    </row>
    <row r="14">
      <c r="A14" s="25">
        <v>8.0</v>
      </c>
      <c r="B14" s="11" t="s">
        <v>275</v>
      </c>
      <c r="C14" s="11" t="s">
        <v>276</v>
      </c>
      <c r="D14" s="11" t="s">
        <v>153</v>
      </c>
      <c r="E14" s="11" t="s">
        <v>277</v>
      </c>
      <c r="F14" s="11" t="s">
        <v>35</v>
      </c>
      <c r="G14" s="11" t="s">
        <v>249</v>
      </c>
      <c r="H14" s="11" t="s">
        <v>266</v>
      </c>
      <c r="I14" s="18" t="s">
        <v>68</v>
      </c>
      <c r="J14" s="11"/>
      <c r="K14" s="11" t="s">
        <v>150</v>
      </c>
      <c r="L14" s="11"/>
      <c r="M14" s="11"/>
      <c r="N14" s="11"/>
    </row>
    <row r="15">
      <c r="A15" s="25">
        <v>9.0</v>
      </c>
      <c r="B15" s="11" t="s">
        <v>278</v>
      </c>
      <c r="C15" s="11" t="s">
        <v>279</v>
      </c>
      <c r="D15" s="11" t="s">
        <v>253</v>
      </c>
      <c r="E15" s="11" t="s">
        <v>280</v>
      </c>
      <c r="F15" s="11" t="s">
        <v>35</v>
      </c>
      <c r="G15" s="11" t="s">
        <v>249</v>
      </c>
      <c r="H15" s="11" t="s">
        <v>250</v>
      </c>
      <c r="I15" s="18" t="s">
        <v>68</v>
      </c>
      <c r="J15" s="11"/>
      <c r="K15" s="11" t="s">
        <v>150</v>
      </c>
      <c r="L15" s="11"/>
      <c r="M15" s="11"/>
      <c r="N15" s="11"/>
    </row>
    <row r="16">
      <c r="A16" s="15"/>
      <c r="B16" s="16" t="s">
        <v>281</v>
      </c>
      <c r="C16" s="5"/>
      <c r="D16" s="5"/>
      <c r="E16" s="5"/>
      <c r="F16" s="5"/>
      <c r="G16" s="5"/>
      <c r="H16" s="5"/>
      <c r="I16" s="5"/>
      <c r="J16" s="5"/>
      <c r="K16" s="5"/>
      <c r="L16" s="5"/>
      <c r="M16" s="5"/>
      <c r="N16" s="6"/>
    </row>
    <row r="17">
      <c r="A17" s="25">
        <v>10.0</v>
      </c>
      <c r="B17" s="11" t="s">
        <v>282</v>
      </c>
      <c r="C17" s="11" t="s">
        <v>283</v>
      </c>
      <c r="D17" s="11" t="s">
        <v>253</v>
      </c>
      <c r="E17" s="11" t="s">
        <v>284</v>
      </c>
      <c r="F17" s="11" t="s">
        <v>37</v>
      </c>
      <c r="G17" s="11" t="s">
        <v>249</v>
      </c>
      <c r="H17" s="11" t="s">
        <v>259</v>
      </c>
      <c r="I17" s="18" t="s">
        <v>68</v>
      </c>
      <c r="J17" s="11"/>
      <c r="K17" s="11" t="s">
        <v>150</v>
      </c>
      <c r="L17" s="11"/>
      <c r="M17" s="11"/>
      <c r="N17" s="11"/>
    </row>
    <row r="18">
      <c r="A18" s="25">
        <v>11.0</v>
      </c>
      <c r="B18" s="11" t="s">
        <v>285</v>
      </c>
      <c r="C18" s="11" t="s">
        <v>286</v>
      </c>
      <c r="D18" s="11" t="s">
        <v>154</v>
      </c>
      <c r="E18" s="11" t="s">
        <v>287</v>
      </c>
      <c r="F18" s="11" t="s">
        <v>37</v>
      </c>
      <c r="G18" s="11" t="s">
        <v>265</v>
      </c>
      <c r="H18" s="11" t="s">
        <v>266</v>
      </c>
      <c r="I18" s="18" t="s">
        <v>68</v>
      </c>
      <c r="J18" s="11"/>
      <c r="K18" s="11" t="s">
        <v>150</v>
      </c>
      <c r="L18" s="11"/>
      <c r="M18" s="11"/>
      <c r="N18" s="11"/>
    </row>
    <row r="19">
      <c r="A19" s="25">
        <v>12.0</v>
      </c>
      <c r="B19" s="11" t="s">
        <v>288</v>
      </c>
      <c r="C19" s="11" t="s">
        <v>289</v>
      </c>
      <c r="D19" s="11" t="s">
        <v>253</v>
      </c>
      <c r="E19" s="11" t="s">
        <v>290</v>
      </c>
      <c r="F19" s="11" t="s">
        <v>37</v>
      </c>
      <c r="G19" s="11" t="s">
        <v>249</v>
      </c>
      <c r="H19" s="11" t="s">
        <v>259</v>
      </c>
      <c r="I19" s="18" t="s">
        <v>68</v>
      </c>
      <c r="J19" s="11"/>
      <c r="K19" s="11" t="s">
        <v>150</v>
      </c>
      <c r="L19" s="11"/>
      <c r="M19" s="11"/>
      <c r="N19" s="11"/>
    </row>
    <row r="20">
      <c r="A20" s="15"/>
      <c r="B20" s="16" t="s">
        <v>291</v>
      </c>
      <c r="C20" s="5"/>
      <c r="D20" s="5"/>
      <c r="E20" s="5"/>
      <c r="F20" s="5"/>
      <c r="G20" s="5"/>
      <c r="H20" s="5"/>
      <c r="I20" s="5"/>
      <c r="J20" s="5"/>
      <c r="K20" s="5"/>
      <c r="L20" s="5"/>
      <c r="M20" s="5"/>
      <c r="N20" s="6"/>
    </row>
    <row r="21" ht="15.75" customHeight="1">
      <c r="A21" s="25">
        <v>13.0</v>
      </c>
      <c r="B21" s="11" t="s">
        <v>292</v>
      </c>
      <c r="C21" s="11" t="s">
        <v>293</v>
      </c>
      <c r="D21" s="11" t="s">
        <v>253</v>
      </c>
      <c r="E21" s="11" t="s">
        <v>294</v>
      </c>
      <c r="F21" s="11" t="s">
        <v>39</v>
      </c>
      <c r="G21" s="11" t="s">
        <v>249</v>
      </c>
      <c r="H21" s="11" t="s">
        <v>250</v>
      </c>
      <c r="I21" s="18" t="s">
        <v>68</v>
      </c>
      <c r="J21" s="11"/>
      <c r="K21" s="11" t="s">
        <v>150</v>
      </c>
      <c r="L21" s="11"/>
      <c r="M21" s="11"/>
      <c r="N21" s="11"/>
    </row>
    <row r="22" ht="15.75" customHeight="1">
      <c r="A22" s="25">
        <v>14.0</v>
      </c>
      <c r="B22" s="11" t="s">
        <v>295</v>
      </c>
      <c r="C22" s="11" t="s">
        <v>296</v>
      </c>
      <c r="D22" s="11" t="s">
        <v>253</v>
      </c>
      <c r="E22" s="11" t="s">
        <v>297</v>
      </c>
      <c r="F22" s="11" t="s">
        <v>39</v>
      </c>
      <c r="G22" s="11" t="s">
        <v>249</v>
      </c>
      <c r="H22" s="11" t="s">
        <v>259</v>
      </c>
      <c r="I22" s="18" t="s">
        <v>68</v>
      </c>
      <c r="J22" s="11"/>
      <c r="K22" s="11" t="s">
        <v>150</v>
      </c>
      <c r="L22" s="11"/>
      <c r="M22" s="11"/>
      <c r="N22" s="11"/>
    </row>
    <row r="23" ht="15.75" customHeight="1">
      <c r="A23" s="25">
        <v>15.0</v>
      </c>
      <c r="B23" s="11" t="s">
        <v>298</v>
      </c>
      <c r="C23" s="11" t="s">
        <v>299</v>
      </c>
      <c r="D23" s="11" t="s">
        <v>253</v>
      </c>
      <c r="E23" s="11" t="s">
        <v>300</v>
      </c>
      <c r="F23" s="11" t="s">
        <v>39</v>
      </c>
      <c r="G23" s="11" t="s">
        <v>265</v>
      </c>
      <c r="H23" s="11" t="s">
        <v>250</v>
      </c>
      <c r="I23" s="18" t="s">
        <v>68</v>
      </c>
      <c r="J23" s="11"/>
      <c r="K23" s="11" t="s">
        <v>150</v>
      </c>
      <c r="L23" s="11"/>
      <c r="M23" s="11"/>
      <c r="N23" s="11"/>
    </row>
    <row r="24" ht="15.75" customHeight="1">
      <c r="A24" s="25">
        <v>16.0</v>
      </c>
      <c r="B24" s="11" t="s">
        <v>301</v>
      </c>
      <c r="C24" s="11" t="s">
        <v>302</v>
      </c>
      <c r="D24" s="11" t="s">
        <v>253</v>
      </c>
      <c r="E24" s="11" t="s">
        <v>303</v>
      </c>
      <c r="F24" s="11" t="s">
        <v>39</v>
      </c>
      <c r="G24" s="11" t="s">
        <v>249</v>
      </c>
      <c r="H24" s="11" t="s">
        <v>250</v>
      </c>
      <c r="I24" s="18" t="s">
        <v>12</v>
      </c>
      <c r="J24" s="11"/>
      <c r="K24" s="11" t="s">
        <v>150</v>
      </c>
      <c r="L24" s="11"/>
      <c r="M24" s="11"/>
      <c r="N24" s="11"/>
    </row>
    <row r="25" ht="15.75" customHeight="1">
      <c r="A25" s="11">
        <v>17.0</v>
      </c>
      <c r="B25" s="11" t="s">
        <v>304</v>
      </c>
      <c r="C25" s="17"/>
      <c r="D25" s="17"/>
      <c r="E25" s="17"/>
      <c r="F25" s="17"/>
      <c r="G25" s="17"/>
      <c r="H25" s="17"/>
      <c r="I25" s="17"/>
      <c r="J25" s="17"/>
      <c r="K25" s="17"/>
      <c r="L25" s="17"/>
      <c r="M25" s="17"/>
      <c r="N25" s="17"/>
    </row>
    <row r="26" ht="15.75" customHeight="1">
      <c r="A26" s="11">
        <v>18.0</v>
      </c>
      <c r="B26" s="11" t="s">
        <v>305</v>
      </c>
      <c r="C26" s="17"/>
      <c r="D26" s="17"/>
      <c r="E26" s="17"/>
      <c r="F26" s="17"/>
      <c r="G26" s="17"/>
      <c r="H26" s="17"/>
      <c r="I26" s="17"/>
      <c r="J26" s="17"/>
      <c r="K26" s="17"/>
      <c r="L26" s="17"/>
      <c r="M26" s="17"/>
      <c r="N26" s="17"/>
    </row>
    <row r="27" ht="15.75" customHeight="1">
      <c r="A27" s="11">
        <v>19.0</v>
      </c>
      <c r="B27" s="11" t="s">
        <v>306</v>
      </c>
      <c r="C27" s="17"/>
      <c r="D27" s="17"/>
      <c r="E27" s="17"/>
      <c r="F27" s="17"/>
      <c r="G27" s="17"/>
      <c r="H27" s="17"/>
      <c r="I27" s="17"/>
      <c r="J27" s="17"/>
      <c r="K27" s="17"/>
      <c r="L27" s="17"/>
      <c r="M27" s="17"/>
      <c r="N27" s="17"/>
    </row>
    <row r="28" ht="15.75" customHeight="1">
      <c r="A28" s="11">
        <v>20.0</v>
      </c>
      <c r="B28" s="11" t="s">
        <v>307</v>
      </c>
      <c r="C28" s="17"/>
      <c r="D28" s="17"/>
      <c r="E28" s="17"/>
      <c r="F28" s="17"/>
      <c r="G28" s="17"/>
      <c r="H28" s="17"/>
      <c r="I28" s="17"/>
      <c r="J28" s="17"/>
      <c r="K28" s="17"/>
      <c r="L28" s="17"/>
      <c r="M28" s="17"/>
      <c r="N28" s="17"/>
    </row>
    <row r="29" ht="15.75" customHeight="1">
      <c r="A29" s="11">
        <v>21.0</v>
      </c>
      <c r="B29" s="11" t="s">
        <v>308</v>
      </c>
      <c r="C29" s="17"/>
      <c r="D29" s="17"/>
      <c r="E29" s="17"/>
      <c r="F29" s="17"/>
      <c r="G29" s="17"/>
      <c r="H29" s="17"/>
      <c r="I29" s="17"/>
      <c r="J29" s="17"/>
      <c r="K29" s="17"/>
      <c r="L29" s="17"/>
      <c r="M29" s="17"/>
      <c r="N29" s="17"/>
    </row>
    <row r="30" ht="15.75" customHeight="1">
      <c r="A30" s="11">
        <v>22.0</v>
      </c>
      <c r="B30" s="11" t="s">
        <v>309</v>
      </c>
      <c r="C30" s="17"/>
      <c r="D30" s="17"/>
      <c r="E30" s="17"/>
      <c r="F30" s="17"/>
      <c r="G30" s="17"/>
      <c r="H30" s="17"/>
      <c r="I30" s="17"/>
      <c r="J30" s="17"/>
      <c r="K30" s="17"/>
      <c r="L30" s="17"/>
      <c r="M30" s="17"/>
      <c r="N30" s="17"/>
    </row>
    <row r="31" ht="15.75" customHeight="1">
      <c r="A31" s="11">
        <v>23.0</v>
      </c>
      <c r="B31" s="11" t="s">
        <v>310</v>
      </c>
      <c r="C31" s="17"/>
      <c r="D31" s="17"/>
      <c r="E31" s="17"/>
      <c r="F31" s="17"/>
      <c r="G31" s="17"/>
      <c r="H31" s="17"/>
      <c r="I31" s="17"/>
      <c r="J31" s="17"/>
      <c r="K31" s="17"/>
      <c r="L31" s="17"/>
      <c r="M31" s="17"/>
      <c r="N31" s="17"/>
    </row>
    <row r="32" ht="15.75" customHeight="1">
      <c r="A32" s="11">
        <v>24.0</v>
      </c>
      <c r="B32" s="11" t="s">
        <v>311</v>
      </c>
      <c r="C32" s="17"/>
      <c r="D32" s="17"/>
      <c r="E32" s="17"/>
      <c r="F32" s="17"/>
      <c r="G32" s="17"/>
      <c r="H32" s="17"/>
      <c r="I32" s="17"/>
      <c r="J32" s="17"/>
      <c r="K32" s="17"/>
      <c r="L32" s="17"/>
      <c r="M32" s="17"/>
      <c r="N32" s="17"/>
    </row>
    <row r="33" ht="15.75" customHeight="1">
      <c r="F33" s="26"/>
      <c r="G33" s="26"/>
      <c r="K33" s="2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B5:N5"/>
    <mergeCell ref="B11:N11"/>
    <mergeCell ref="B16:N16"/>
    <mergeCell ref="B20:N20"/>
  </mergeCells>
  <conditionalFormatting sqref="K6:K1000">
    <cfRule type="cellIs" dxfId="0" priority="1" operator="equal">
      <formula>"Hoàn thành"</formula>
    </cfRule>
  </conditionalFormatting>
  <conditionalFormatting sqref="K6:K1000">
    <cfRule type="cellIs" dxfId="1" priority="2" operator="equal">
      <formula>"Đang làm"</formula>
    </cfRule>
  </conditionalFormatting>
  <conditionalFormatting sqref="K6:K1000">
    <cfRule type="cellIs" dxfId="2" priority="3" operator="equal">
      <formula>"Bị kẹt"</formula>
    </cfRule>
  </conditionalFormatting>
  <conditionalFormatting sqref="K6:K1000">
    <cfRule type="cellIs" dxfId="3" priority="4" operator="equal">
      <formula>"Chưa bắt đầu"</formula>
    </cfRule>
  </conditionalFormatting>
  <conditionalFormatting sqref="G6:G1000">
    <cfRule type="cellIs" dxfId="2" priority="5" operator="equal">
      <formula>"P0"</formula>
    </cfRule>
  </conditionalFormatting>
  <conditionalFormatting sqref="G6:G1000">
    <cfRule type="cellIs" dxfId="1" priority="6" operator="equal">
      <formula>"P1"</formula>
    </cfRule>
  </conditionalFormatting>
  <dataValidations>
    <dataValidation type="list" allowBlank="1" sqref="K6:K10 K12:K15 K17:K19 K21:K33">
      <formula1>"Chưa làm,Đang làm,Đang review,Kiểm thử,Hoàn thành,Bị kẹt,Không làm"</formula1>
    </dataValidation>
    <dataValidation type="list" allowBlank="1" sqref="F6:F10 F12:F15 F17:F19 F21:F33">
      <formula1>"Sprint 1,Sprint 2,Sprint 3,Sprint 4"</formula1>
    </dataValidation>
    <dataValidation type="list" allowBlank="1" sqref="G6:G10 G12:G15 G17:G19 G21:G33">
      <formula1>"P0,P1,P2,P3"</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0"/>
    <col customWidth="1" min="2" max="2" width="32.0"/>
    <col customWidth="1" min="3" max="6" width="15.0"/>
    <col customWidth="1" min="7" max="26" width="8.71"/>
  </cols>
  <sheetData>
    <row r="1">
      <c r="A1" s="1" t="s">
        <v>312</v>
      </c>
    </row>
    <row r="2">
      <c r="A2" s="2" t="s">
        <v>313</v>
      </c>
    </row>
    <row r="4">
      <c r="A4" s="27" t="s">
        <v>314</v>
      </c>
      <c r="B4" s="5"/>
      <c r="C4" s="5"/>
      <c r="D4" s="5"/>
      <c r="E4" s="5"/>
      <c r="F4" s="6"/>
    </row>
    <row r="5">
      <c r="A5" s="28" t="s">
        <v>315</v>
      </c>
      <c r="B5" s="29" t="s">
        <v>316</v>
      </c>
      <c r="C5" s="5"/>
      <c r="D5" s="5"/>
      <c r="E5" s="5"/>
      <c r="F5" s="6"/>
    </row>
    <row r="6">
      <c r="A6" s="28" t="s">
        <v>317</v>
      </c>
      <c r="B6" s="29" t="s">
        <v>318</v>
      </c>
      <c r="C6" s="5"/>
      <c r="D6" s="5"/>
      <c r="E6" s="5"/>
      <c r="F6" s="6"/>
    </row>
    <row r="7">
      <c r="A7" s="28" t="s">
        <v>319</v>
      </c>
      <c r="B7" s="29" t="s">
        <v>320</v>
      </c>
      <c r="C7" s="5"/>
      <c r="D7" s="5"/>
      <c r="E7" s="5"/>
      <c r="F7" s="6"/>
    </row>
    <row r="8">
      <c r="A8" s="28" t="s">
        <v>321</v>
      </c>
      <c r="B8" s="29" t="s">
        <v>9</v>
      </c>
      <c r="C8" s="5"/>
      <c r="D8" s="5"/>
      <c r="E8" s="5"/>
      <c r="F8" s="6"/>
    </row>
    <row r="9">
      <c r="A9" s="28" t="s">
        <v>322</v>
      </c>
      <c r="B9" s="29" t="s">
        <v>9</v>
      </c>
      <c r="C9" s="5"/>
      <c r="D9" s="5"/>
      <c r="E9" s="5"/>
      <c r="F9" s="6"/>
    </row>
    <row r="10">
      <c r="A10" s="28" t="s">
        <v>31</v>
      </c>
      <c r="B10" s="30" t="s">
        <v>323</v>
      </c>
      <c r="C10" s="5"/>
      <c r="D10" s="5"/>
      <c r="E10" s="5"/>
      <c r="F10" s="6"/>
    </row>
    <row r="12">
      <c r="A12" s="31" t="s">
        <v>324</v>
      </c>
      <c r="B12" s="5"/>
      <c r="C12" s="5"/>
      <c r="D12" s="5"/>
      <c r="E12" s="5"/>
      <c r="F12" s="6"/>
    </row>
    <row r="13" ht="45.0" customHeight="1">
      <c r="A13" s="28" t="s">
        <v>325</v>
      </c>
      <c r="B13" s="29" t="s">
        <v>326</v>
      </c>
      <c r="C13" s="5"/>
      <c r="D13" s="5"/>
      <c r="E13" s="5"/>
      <c r="F13" s="6"/>
    </row>
    <row r="14" ht="45.0" customHeight="1">
      <c r="A14" s="28" t="s">
        <v>327</v>
      </c>
      <c r="B14" s="29" t="s">
        <v>328</v>
      </c>
      <c r="C14" s="5"/>
      <c r="D14" s="5"/>
      <c r="E14" s="5"/>
      <c r="F14" s="6"/>
    </row>
    <row r="15" ht="45.0" customHeight="1">
      <c r="A15" s="28" t="s">
        <v>329</v>
      </c>
      <c r="B15" s="29" t="s">
        <v>330</v>
      </c>
      <c r="C15" s="5"/>
      <c r="D15" s="5"/>
      <c r="E15" s="5"/>
      <c r="F15" s="6"/>
    </row>
    <row r="16" ht="45.0" customHeight="1">
      <c r="A16" s="28" t="s">
        <v>331</v>
      </c>
      <c r="B16" s="29" t="s">
        <v>332</v>
      </c>
      <c r="C16" s="5"/>
      <c r="D16" s="5"/>
      <c r="E16" s="5"/>
      <c r="F16" s="6"/>
    </row>
    <row r="17">
      <c r="A17" s="31" t="s">
        <v>333</v>
      </c>
      <c r="B17" s="5"/>
      <c r="C17" s="5"/>
      <c r="D17" s="5"/>
      <c r="E17" s="5"/>
      <c r="F17" s="6"/>
    </row>
    <row r="18" ht="45.0" customHeight="1">
      <c r="A18" s="28" t="s">
        <v>334</v>
      </c>
      <c r="B18" s="29" t="s">
        <v>335</v>
      </c>
      <c r="C18" s="5"/>
      <c r="D18" s="5"/>
      <c r="E18" s="5"/>
      <c r="F18" s="6"/>
    </row>
    <row r="19" ht="45.0" customHeight="1">
      <c r="A19" s="28" t="s">
        <v>77</v>
      </c>
      <c r="B19" s="29" t="s">
        <v>336</v>
      </c>
      <c r="C19" s="5"/>
      <c r="D19" s="5"/>
      <c r="E19" s="5"/>
      <c r="F19" s="6"/>
    </row>
    <row r="20" ht="45.0" customHeight="1">
      <c r="A20" s="28" t="s">
        <v>337</v>
      </c>
      <c r="B20" s="29" t="s">
        <v>338</v>
      </c>
      <c r="C20" s="5"/>
      <c r="D20" s="5"/>
      <c r="E20" s="5"/>
      <c r="F20" s="6"/>
    </row>
    <row r="21" ht="45.0" customHeight="1">
      <c r="A21" s="28" t="s">
        <v>339</v>
      </c>
      <c r="B21" s="29" t="s">
        <v>340</v>
      </c>
      <c r="C21" s="5"/>
      <c r="D21" s="5"/>
      <c r="E21" s="5"/>
      <c r="F21" s="6"/>
    </row>
    <row r="22" ht="45.0" customHeight="1">
      <c r="A22" s="28" t="s">
        <v>341</v>
      </c>
      <c r="B22" s="29" t="s">
        <v>342</v>
      </c>
      <c r="C22" s="5"/>
      <c r="D22" s="5"/>
      <c r="E22" s="5"/>
      <c r="F22" s="6"/>
    </row>
    <row r="23" ht="45.0" customHeight="1">
      <c r="A23" s="28" t="s">
        <v>343</v>
      </c>
      <c r="B23" s="29" t="s">
        <v>344</v>
      </c>
      <c r="C23" s="5"/>
      <c r="D23" s="5"/>
      <c r="E23" s="5"/>
      <c r="F23" s="6"/>
    </row>
    <row r="24" ht="45.0" customHeight="1">
      <c r="A24" s="28" t="s">
        <v>345</v>
      </c>
      <c r="B24" s="29" t="s">
        <v>346</v>
      </c>
      <c r="C24" s="5"/>
      <c r="D24" s="5"/>
      <c r="E24" s="5"/>
      <c r="F24" s="6"/>
    </row>
    <row r="25" ht="15.75" customHeight="1">
      <c r="A25" s="31" t="s">
        <v>347</v>
      </c>
      <c r="B25" s="5"/>
      <c r="C25" s="5"/>
      <c r="D25" s="5"/>
      <c r="E25" s="5"/>
      <c r="F25" s="6"/>
    </row>
    <row r="26" ht="45.0" customHeight="1">
      <c r="A26" s="28" t="s">
        <v>348</v>
      </c>
      <c r="B26" s="29" t="s">
        <v>349</v>
      </c>
      <c r="C26" s="5"/>
      <c r="D26" s="5"/>
      <c r="E26" s="5"/>
      <c r="F26" s="6"/>
    </row>
    <row r="27" ht="45.0" customHeight="1">
      <c r="A27" s="28" t="s">
        <v>350</v>
      </c>
      <c r="B27" s="29" t="s">
        <v>351</v>
      </c>
      <c r="C27" s="5"/>
      <c r="D27" s="5"/>
      <c r="E27" s="5"/>
      <c r="F27" s="6"/>
    </row>
    <row r="28" ht="45.0" customHeight="1">
      <c r="A28" s="28" t="s">
        <v>352</v>
      </c>
      <c r="B28" s="29" t="s">
        <v>353</v>
      </c>
      <c r="C28" s="5"/>
      <c r="D28" s="5"/>
      <c r="E28" s="5"/>
      <c r="F28" s="6"/>
    </row>
    <row r="29" ht="45.0" customHeight="1">
      <c r="A29" s="28" t="s">
        <v>354</v>
      </c>
      <c r="B29" s="29" t="s">
        <v>355</v>
      </c>
      <c r="C29" s="5"/>
      <c r="D29" s="5"/>
      <c r="E29" s="5"/>
      <c r="F29" s="6"/>
    </row>
    <row r="30" ht="45.0" customHeight="1">
      <c r="A30" s="28" t="s">
        <v>356</v>
      </c>
      <c r="B30" s="29" t="s">
        <v>357</v>
      </c>
      <c r="C30" s="5"/>
      <c r="D30" s="5"/>
      <c r="E30" s="5"/>
      <c r="F30" s="6"/>
    </row>
    <row r="31" ht="45.0" customHeight="1">
      <c r="A31" s="28" t="s">
        <v>358</v>
      </c>
      <c r="B31" s="29" t="s">
        <v>359</v>
      </c>
      <c r="C31" s="5"/>
      <c r="D31" s="5"/>
      <c r="E31" s="5"/>
      <c r="F31" s="6"/>
    </row>
    <row r="32" ht="45.0" customHeight="1">
      <c r="A32" s="28" t="s">
        <v>360</v>
      </c>
      <c r="B32" s="29" t="s">
        <v>361</v>
      </c>
      <c r="C32" s="5"/>
      <c r="D32" s="5"/>
      <c r="E32" s="5"/>
      <c r="F32" s="6"/>
    </row>
    <row r="33" ht="45.0" customHeight="1">
      <c r="A33" s="28" t="s">
        <v>362</v>
      </c>
      <c r="B33" s="29" t="s">
        <v>363</v>
      </c>
      <c r="C33" s="5"/>
      <c r="D33" s="5"/>
      <c r="E33" s="5"/>
      <c r="F33" s="6"/>
    </row>
    <row r="34" ht="15.75" customHeight="1"/>
    <row r="35" ht="15.75" customHeight="1">
      <c r="A35" s="32" t="s">
        <v>364</v>
      </c>
    </row>
    <row r="36" ht="15.75" customHeight="1"/>
    <row r="37" ht="15.75" customHeight="1">
      <c r="A37" s="27" t="s">
        <v>365</v>
      </c>
      <c r="B37" s="5"/>
      <c r="C37" s="5"/>
      <c r="D37" s="5"/>
      <c r="E37" s="5"/>
      <c r="F37" s="6"/>
    </row>
    <row r="38" ht="15.75" customHeight="1">
      <c r="A38" s="28" t="s">
        <v>315</v>
      </c>
      <c r="B38" s="29" t="s">
        <v>316</v>
      </c>
      <c r="C38" s="5"/>
      <c r="D38" s="5"/>
      <c r="E38" s="5"/>
      <c r="F38" s="6"/>
    </row>
    <row r="39" ht="15.75" customHeight="1">
      <c r="A39" s="28" t="s">
        <v>317</v>
      </c>
      <c r="B39" s="29" t="s">
        <v>318</v>
      </c>
      <c r="C39" s="5"/>
      <c r="D39" s="5"/>
      <c r="E39" s="5"/>
      <c r="F39" s="6"/>
    </row>
    <row r="40" ht="15.75" customHeight="1">
      <c r="A40" s="28" t="s">
        <v>319</v>
      </c>
      <c r="B40" s="29" t="s">
        <v>320</v>
      </c>
      <c r="C40" s="5"/>
      <c r="D40" s="5"/>
      <c r="E40" s="5"/>
      <c r="F40" s="6"/>
    </row>
    <row r="41" ht="15.75" customHeight="1">
      <c r="A41" s="28" t="s">
        <v>321</v>
      </c>
      <c r="B41" s="29" t="s">
        <v>9</v>
      </c>
      <c r="C41" s="5"/>
      <c r="D41" s="5"/>
      <c r="E41" s="5"/>
      <c r="F41" s="6"/>
    </row>
    <row r="42" ht="15.75" customHeight="1">
      <c r="A42" s="28" t="s">
        <v>322</v>
      </c>
      <c r="B42" s="29" t="s">
        <v>9</v>
      </c>
      <c r="C42" s="5"/>
      <c r="D42" s="5"/>
      <c r="E42" s="5"/>
      <c r="F42" s="6"/>
    </row>
    <row r="43" ht="15.75" customHeight="1">
      <c r="A43" s="28" t="s">
        <v>31</v>
      </c>
      <c r="B43" s="30" t="s">
        <v>323</v>
      </c>
      <c r="C43" s="5"/>
      <c r="D43" s="5"/>
      <c r="E43" s="5"/>
      <c r="F43" s="6"/>
    </row>
    <row r="44" ht="15.75" customHeight="1"/>
    <row r="45" ht="15.75" customHeight="1">
      <c r="A45" s="31" t="s">
        <v>324</v>
      </c>
      <c r="B45" s="5"/>
      <c r="C45" s="5"/>
      <c r="D45" s="5"/>
      <c r="E45" s="5"/>
      <c r="F45" s="6"/>
    </row>
    <row r="46" ht="45.0" customHeight="1">
      <c r="A46" s="28" t="s">
        <v>325</v>
      </c>
      <c r="B46" s="29" t="s">
        <v>326</v>
      </c>
      <c r="C46" s="5"/>
      <c r="D46" s="5"/>
      <c r="E46" s="5"/>
      <c r="F46" s="6"/>
    </row>
    <row r="47" ht="45.0" customHeight="1">
      <c r="A47" s="28" t="s">
        <v>327</v>
      </c>
      <c r="B47" s="29" t="s">
        <v>328</v>
      </c>
      <c r="C47" s="5"/>
      <c r="D47" s="5"/>
      <c r="E47" s="5"/>
      <c r="F47" s="6"/>
    </row>
    <row r="48" ht="45.0" customHeight="1">
      <c r="A48" s="28" t="s">
        <v>329</v>
      </c>
      <c r="B48" s="29" t="s">
        <v>330</v>
      </c>
      <c r="C48" s="5"/>
      <c r="D48" s="5"/>
      <c r="E48" s="5"/>
      <c r="F48" s="6"/>
    </row>
    <row r="49" ht="45.0" customHeight="1">
      <c r="A49" s="28" t="s">
        <v>331</v>
      </c>
      <c r="B49" s="29" t="s">
        <v>332</v>
      </c>
      <c r="C49" s="5"/>
      <c r="D49" s="5"/>
      <c r="E49" s="5"/>
      <c r="F49" s="6"/>
    </row>
    <row r="50" ht="15.75" customHeight="1">
      <c r="A50" s="31" t="s">
        <v>333</v>
      </c>
      <c r="B50" s="5"/>
      <c r="C50" s="5"/>
      <c r="D50" s="5"/>
      <c r="E50" s="5"/>
      <c r="F50" s="6"/>
    </row>
    <row r="51" ht="45.0" customHeight="1">
      <c r="A51" s="28" t="s">
        <v>334</v>
      </c>
      <c r="B51" s="29" t="s">
        <v>335</v>
      </c>
      <c r="C51" s="5"/>
      <c r="D51" s="5"/>
      <c r="E51" s="5"/>
      <c r="F51" s="6"/>
    </row>
    <row r="52" ht="45.0" customHeight="1">
      <c r="A52" s="28" t="s">
        <v>77</v>
      </c>
      <c r="B52" s="29" t="s">
        <v>336</v>
      </c>
      <c r="C52" s="5"/>
      <c r="D52" s="5"/>
      <c r="E52" s="5"/>
      <c r="F52" s="6"/>
    </row>
    <row r="53" ht="45.0" customHeight="1">
      <c r="A53" s="28" t="s">
        <v>337</v>
      </c>
      <c r="B53" s="29" t="s">
        <v>338</v>
      </c>
      <c r="C53" s="5"/>
      <c r="D53" s="5"/>
      <c r="E53" s="5"/>
      <c r="F53" s="6"/>
    </row>
    <row r="54" ht="45.0" customHeight="1">
      <c r="A54" s="28" t="s">
        <v>339</v>
      </c>
      <c r="B54" s="29" t="s">
        <v>340</v>
      </c>
      <c r="C54" s="5"/>
      <c r="D54" s="5"/>
      <c r="E54" s="5"/>
      <c r="F54" s="6"/>
    </row>
    <row r="55" ht="45.0" customHeight="1">
      <c r="A55" s="28" t="s">
        <v>341</v>
      </c>
      <c r="B55" s="29" t="s">
        <v>342</v>
      </c>
      <c r="C55" s="5"/>
      <c r="D55" s="5"/>
      <c r="E55" s="5"/>
      <c r="F55" s="6"/>
    </row>
    <row r="56" ht="45.0" customHeight="1">
      <c r="A56" s="28" t="s">
        <v>343</v>
      </c>
      <c r="B56" s="29" t="s">
        <v>344</v>
      </c>
      <c r="C56" s="5"/>
      <c r="D56" s="5"/>
      <c r="E56" s="5"/>
      <c r="F56" s="6"/>
    </row>
    <row r="57" ht="45.0" customHeight="1">
      <c r="A57" s="28" t="s">
        <v>345</v>
      </c>
      <c r="B57" s="29" t="s">
        <v>346</v>
      </c>
      <c r="C57" s="5"/>
      <c r="D57" s="5"/>
      <c r="E57" s="5"/>
      <c r="F57" s="6"/>
    </row>
    <row r="58" ht="15.75" customHeight="1">
      <c r="A58" s="31" t="s">
        <v>347</v>
      </c>
      <c r="B58" s="5"/>
      <c r="C58" s="5"/>
      <c r="D58" s="5"/>
      <c r="E58" s="5"/>
      <c r="F58" s="6"/>
    </row>
    <row r="59" ht="45.0" customHeight="1">
      <c r="A59" s="28" t="s">
        <v>348</v>
      </c>
      <c r="B59" s="29" t="s">
        <v>349</v>
      </c>
      <c r="C59" s="5"/>
      <c r="D59" s="5"/>
      <c r="E59" s="5"/>
      <c r="F59" s="6"/>
    </row>
    <row r="60" ht="45.0" customHeight="1">
      <c r="A60" s="28" t="s">
        <v>350</v>
      </c>
      <c r="B60" s="29" t="s">
        <v>351</v>
      </c>
      <c r="C60" s="5"/>
      <c r="D60" s="5"/>
      <c r="E60" s="5"/>
      <c r="F60" s="6"/>
    </row>
    <row r="61" ht="45.0" customHeight="1">
      <c r="A61" s="28" t="s">
        <v>352</v>
      </c>
      <c r="B61" s="29" t="s">
        <v>353</v>
      </c>
      <c r="C61" s="5"/>
      <c r="D61" s="5"/>
      <c r="E61" s="5"/>
      <c r="F61" s="6"/>
    </row>
    <row r="62" ht="45.0" customHeight="1">
      <c r="A62" s="28" t="s">
        <v>354</v>
      </c>
      <c r="B62" s="29" t="s">
        <v>355</v>
      </c>
      <c r="C62" s="5"/>
      <c r="D62" s="5"/>
      <c r="E62" s="5"/>
      <c r="F62" s="6"/>
    </row>
    <row r="63" ht="45.0" customHeight="1">
      <c r="A63" s="28" t="s">
        <v>356</v>
      </c>
      <c r="B63" s="29" t="s">
        <v>357</v>
      </c>
      <c r="C63" s="5"/>
      <c r="D63" s="5"/>
      <c r="E63" s="5"/>
      <c r="F63" s="6"/>
    </row>
    <row r="64" ht="45.0" customHeight="1">
      <c r="A64" s="28" t="s">
        <v>358</v>
      </c>
      <c r="B64" s="29" t="s">
        <v>359</v>
      </c>
      <c r="C64" s="5"/>
      <c r="D64" s="5"/>
      <c r="E64" s="5"/>
      <c r="F64" s="6"/>
    </row>
    <row r="65" ht="45.0" customHeight="1">
      <c r="A65" s="28" t="s">
        <v>360</v>
      </c>
      <c r="B65" s="29" t="s">
        <v>361</v>
      </c>
      <c r="C65" s="5"/>
      <c r="D65" s="5"/>
      <c r="E65" s="5"/>
      <c r="F65" s="6"/>
    </row>
    <row r="66" ht="45.0" customHeight="1">
      <c r="A66" s="28" t="s">
        <v>362</v>
      </c>
      <c r="B66" s="29" t="s">
        <v>363</v>
      </c>
      <c r="C66" s="5"/>
      <c r="D66" s="5"/>
      <c r="E66" s="5"/>
      <c r="F66" s="6"/>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B49:F49"/>
    <mergeCell ref="A50:F50"/>
    <mergeCell ref="B51:F51"/>
    <mergeCell ref="B52:F52"/>
    <mergeCell ref="B53:F53"/>
    <mergeCell ref="B54:F54"/>
    <mergeCell ref="B55:F55"/>
    <mergeCell ref="B56:F56"/>
    <mergeCell ref="B57:F57"/>
    <mergeCell ref="A58:F58"/>
    <mergeCell ref="B59:F59"/>
    <mergeCell ref="B60:F60"/>
    <mergeCell ref="B61:F61"/>
    <mergeCell ref="B62:F62"/>
    <mergeCell ref="A1:F1"/>
    <mergeCell ref="A2:F2"/>
    <mergeCell ref="A4:F4"/>
    <mergeCell ref="B5:F5"/>
    <mergeCell ref="B6:F6"/>
    <mergeCell ref="B7:F7"/>
    <mergeCell ref="B8:F8"/>
    <mergeCell ref="B9:F9"/>
    <mergeCell ref="B10:F10"/>
    <mergeCell ref="A12:F12"/>
    <mergeCell ref="B13:F13"/>
    <mergeCell ref="B14:F14"/>
    <mergeCell ref="B15:F15"/>
    <mergeCell ref="B16:F16"/>
    <mergeCell ref="A17:F17"/>
    <mergeCell ref="B18:F18"/>
    <mergeCell ref="B19:F19"/>
    <mergeCell ref="B20:F20"/>
    <mergeCell ref="B21:F21"/>
    <mergeCell ref="B22:F22"/>
    <mergeCell ref="B23:F23"/>
    <mergeCell ref="B24:F24"/>
    <mergeCell ref="A25:F25"/>
    <mergeCell ref="B26:F26"/>
    <mergeCell ref="B27:F27"/>
    <mergeCell ref="B28:F28"/>
    <mergeCell ref="B29:F29"/>
    <mergeCell ref="B30:F30"/>
    <mergeCell ref="B31:F31"/>
    <mergeCell ref="B32:F32"/>
    <mergeCell ref="B33:F33"/>
    <mergeCell ref="A37:F37"/>
    <mergeCell ref="B38:F38"/>
    <mergeCell ref="B39:F39"/>
    <mergeCell ref="B40:F40"/>
    <mergeCell ref="B41:F41"/>
    <mergeCell ref="B42:F42"/>
    <mergeCell ref="B43:F43"/>
    <mergeCell ref="A45:F45"/>
    <mergeCell ref="B46:F46"/>
    <mergeCell ref="B47:F47"/>
    <mergeCell ref="B48:F48"/>
    <mergeCell ref="B63:F63"/>
    <mergeCell ref="B64:F64"/>
    <mergeCell ref="B65:F65"/>
    <mergeCell ref="B66:F6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2.0"/>
    <col customWidth="1" min="3" max="3" width="24.0"/>
    <col customWidth="1" min="4" max="4" width="30.0"/>
    <col customWidth="1" min="5" max="5" width="25.0"/>
    <col customWidth="1" min="6" max="6" width="16.0"/>
    <col customWidth="1" min="7" max="7" width="10.0"/>
    <col customWidth="1" min="8" max="8" width="14.0"/>
    <col customWidth="1" min="9" max="9" width="18.0"/>
    <col customWidth="1" min="10" max="10" width="14.0"/>
    <col customWidth="1" min="11" max="11" width="12.0"/>
    <col customWidth="1" min="12" max="12" width="25.0"/>
    <col customWidth="1" min="13" max="26" width="8.71"/>
  </cols>
  <sheetData>
    <row r="1">
      <c r="A1" s="1" t="s">
        <v>366</v>
      </c>
    </row>
    <row r="2">
      <c r="A2" s="2" t="s">
        <v>367</v>
      </c>
    </row>
    <row r="4">
      <c r="A4" s="10" t="s">
        <v>57</v>
      </c>
      <c r="B4" s="10" t="s">
        <v>368</v>
      </c>
      <c r="C4" s="10" t="s">
        <v>369</v>
      </c>
      <c r="D4" s="10" t="s">
        <v>189</v>
      </c>
      <c r="E4" s="10" t="s">
        <v>370</v>
      </c>
      <c r="F4" s="10" t="s">
        <v>371</v>
      </c>
      <c r="G4" s="10" t="s">
        <v>239</v>
      </c>
      <c r="H4" s="10" t="s">
        <v>238</v>
      </c>
      <c r="I4" s="10" t="s">
        <v>372</v>
      </c>
      <c r="J4" s="10" t="s">
        <v>373</v>
      </c>
      <c r="K4" s="10" t="s">
        <v>31</v>
      </c>
      <c r="L4" s="10" t="s">
        <v>374</v>
      </c>
    </row>
    <row r="5">
      <c r="A5" s="11">
        <v>1.0</v>
      </c>
      <c r="B5" s="11" t="s">
        <v>375</v>
      </c>
      <c r="C5" s="11" t="s">
        <v>376</v>
      </c>
      <c r="D5" s="11" t="s">
        <v>377</v>
      </c>
      <c r="E5" s="11" t="s">
        <v>378</v>
      </c>
      <c r="F5" s="11" t="s">
        <v>379</v>
      </c>
      <c r="G5" s="11" t="s">
        <v>249</v>
      </c>
      <c r="H5" s="11" t="s">
        <v>143</v>
      </c>
      <c r="I5" s="11" t="s">
        <v>380</v>
      </c>
      <c r="J5" s="11"/>
      <c r="K5" s="11" t="s">
        <v>381</v>
      </c>
      <c r="L5" s="11"/>
    </row>
    <row r="6">
      <c r="A6" s="12">
        <v>2.0</v>
      </c>
      <c r="B6" s="12" t="s">
        <v>382</v>
      </c>
      <c r="C6" s="12"/>
      <c r="D6" s="12"/>
      <c r="E6" s="12"/>
      <c r="F6" s="12"/>
      <c r="G6" s="12"/>
      <c r="H6" s="12"/>
      <c r="I6" s="12"/>
      <c r="J6" s="12"/>
      <c r="K6" s="12"/>
      <c r="L6" s="12"/>
    </row>
    <row r="7">
      <c r="A7" s="11">
        <v>3.0</v>
      </c>
      <c r="B7" s="11" t="s">
        <v>383</v>
      </c>
      <c r="C7" s="11"/>
      <c r="D7" s="11"/>
      <c r="E7" s="11"/>
      <c r="F7" s="11"/>
      <c r="G7" s="11"/>
      <c r="H7" s="11"/>
      <c r="I7" s="11"/>
      <c r="J7" s="11"/>
      <c r="K7" s="11"/>
      <c r="L7" s="11"/>
    </row>
    <row r="8">
      <c r="A8" s="12">
        <v>4.0</v>
      </c>
      <c r="B8" s="12" t="s">
        <v>384</v>
      </c>
      <c r="C8" s="12"/>
      <c r="D8" s="12"/>
      <c r="E8" s="12"/>
      <c r="F8" s="12"/>
      <c r="G8" s="12"/>
      <c r="H8" s="12"/>
      <c r="I8" s="12"/>
      <c r="J8" s="12"/>
      <c r="K8" s="12"/>
      <c r="L8" s="12"/>
    </row>
    <row r="9">
      <c r="A9" s="11">
        <v>5.0</v>
      </c>
      <c r="B9" s="11" t="s">
        <v>385</v>
      </c>
      <c r="C9" s="11"/>
      <c r="D9" s="11"/>
      <c r="E9" s="11"/>
      <c r="F9" s="11"/>
      <c r="G9" s="11"/>
      <c r="H9" s="11"/>
      <c r="I9" s="11"/>
      <c r="J9" s="11"/>
      <c r="K9" s="11"/>
      <c r="L9" s="11"/>
    </row>
    <row r="10">
      <c r="A10" s="12">
        <v>6.0</v>
      </c>
      <c r="B10" s="12" t="s">
        <v>386</v>
      </c>
      <c r="C10" s="12"/>
      <c r="D10" s="12"/>
      <c r="E10" s="12"/>
      <c r="F10" s="12"/>
      <c r="G10" s="12"/>
      <c r="H10" s="12"/>
      <c r="I10" s="12"/>
      <c r="J10" s="12"/>
      <c r="K10" s="12"/>
      <c r="L10" s="12"/>
    </row>
    <row r="11">
      <c r="A11" s="11">
        <v>7.0</v>
      </c>
      <c r="B11" s="11" t="s">
        <v>387</v>
      </c>
      <c r="C11" s="11"/>
      <c r="D11" s="11"/>
      <c r="E11" s="11"/>
      <c r="F11" s="11"/>
      <c r="G11" s="11"/>
      <c r="H11" s="11"/>
      <c r="I11" s="11"/>
      <c r="J11" s="11"/>
      <c r="K11" s="11"/>
      <c r="L11" s="11"/>
    </row>
    <row r="12">
      <c r="A12" s="12">
        <v>8.0</v>
      </c>
      <c r="B12" s="12" t="s">
        <v>388</v>
      </c>
      <c r="C12" s="12"/>
      <c r="D12" s="12"/>
      <c r="E12" s="12"/>
      <c r="F12" s="12"/>
      <c r="G12" s="12"/>
      <c r="H12" s="12"/>
      <c r="I12" s="12"/>
      <c r="J12" s="12"/>
      <c r="K12" s="12"/>
      <c r="L12" s="12"/>
    </row>
    <row r="13">
      <c r="A13" s="11">
        <v>9.0</v>
      </c>
      <c r="B13" s="11" t="s">
        <v>389</v>
      </c>
      <c r="C13" s="11"/>
      <c r="D13" s="11"/>
      <c r="E13" s="11"/>
      <c r="F13" s="11"/>
      <c r="G13" s="11"/>
      <c r="H13" s="11"/>
      <c r="I13" s="11"/>
      <c r="J13" s="11"/>
      <c r="K13" s="11"/>
      <c r="L13" s="11"/>
    </row>
    <row r="14">
      <c r="A14" s="12">
        <v>10.0</v>
      </c>
      <c r="B14" s="12" t="s">
        <v>390</v>
      </c>
      <c r="C14" s="12"/>
      <c r="D14" s="12"/>
      <c r="E14" s="12"/>
      <c r="F14" s="12"/>
      <c r="G14" s="12"/>
      <c r="H14" s="12"/>
      <c r="I14" s="12"/>
      <c r="J14" s="12"/>
      <c r="K14" s="12"/>
      <c r="L14" s="12"/>
    </row>
    <row r="15">
      <c r="A15" s="11">
        <v>11.0</v>
      </c>
      <c r="B15" s="11" t="s">
        <v>391</v>
      </c>
      <c r="C15" s="11"/>
      <c r="D15" s="11"/>
      <c r="E15" s="11"/>
      <c r="F15" s="11"/>
      <c r="G15" s="11"/>
      <c r="H15" s="11"/>
      <c r="I15" s="11"/>
      <c r="J15" s="11"/>
      <c r="K15" s="11"/>
      <c r="L15" s="11"/>
    </row>
    <row r="16">
      <c r="A16" s="12">
        <v>12.0</v>
      </c>
      <c r="B16" s="12" t="s">
        <v>392</v>
      </c>
      <c r="C16" s="12"/>
      <c r="D16" s="12"/>
      <c r="E16" s="12"/>
      <c r="F16" s="12"/>
      <c r="G16" s="12"/>
      <c r="H16" s="12"/>
      <c r="I16" s="12"/>
      <c r="J16" s="12"/>
      <c r="K16" s="12"/>
      <c r="L16" s="12"/>
    </row>
    <row r="17">
      <c r="A17" s="11">
        <v>13.0</v>
      </c>
      <c r="B17" s="11" t="s">
        <v>393</v>
      </c>
      <c r="C17" s="11"/>
      <c r="D17" s="11"/>
      <c r="E17" s="11"/>
      <c r="F17" s="11"/>
      <c r="G17" s="11"/>
      <c r="H17" s="11"/>
      <c r="I17" s="11"/>
      <c r="J17" s="11"/>
      <c r="K17" s="11"/>
      <c r="L17" s="11"/>
    </row>
    <row r="18">
      <c r="A18" s="12">
        <v>14.0</v>
      </c>
      <c r="B18" s="12" t="s">
        <v>394</v>
      </c>
      <c r="C18" s="12"/>
      <c r="D18" s="12"/>
      <c r="E18" s="12"/>
      <c r="F18" s="12"/>
      <c r="G18" s="12"/>
      <c r="H18" s="12"/>
      <c r="I18" s="12"/>
      <c r="J18" s="12"/>
      <c r="K18" s="12"/>
      <c r="L18" s="12"/>
    </row>
    <row r="19">
      <c r="A19" s="11">
        <v>15.0</v>
      </c>
      <c r="B19" s="11" t="s">
        <v>395</v>
      </c>
      <c r="C19" s="11"/>
      <c r="D19" s="11"/>
      <c r="E19" s="11"/>
      <c r="F19" s="11"/>
      <c r="G19" s="11"/>
      <c r="H19" s="11"/>
      <c r="I19" s="11"/>
      <c r="J19" s="11"/>
      <c r="K19" s="11"/>
      <c r="L19" s="11"/>
    </row>
    <row r="20">
      <c r="A20" s="12">
        <v>16.0</v>
      </c>
      <c r="B20" s="12" t="s">
        <v>396</v>
      </c>
      <c r="C20" s="12"/>
      <c r="D20" s="12"/>
      <c r="E20" s="12"/>
      <c r="F20" s="12"/>
      <c r="G20" s="12"/>
      <c r="H20" s="12"/>
      <c r="I20" s="12"/>
      <c r="J20" s="12"/>
      <c r="K20" s="12"/>
      <c r="L20" s="12"/>
    </row>
    <row r="21" ht="15.75" customHeight="1">
      <c r="A21" s="11">
        <v>17.0</v>
      </c>
      <c r="B21" s="11" t="s">
        <v>397</v>
      </c>
      <c r="C21" s="11"/>
      <c r="D21" s="11"/>
      <c r="E21" s="11"/>
      <c r="F21" s="11"/>
      <c r="G21" s="11"/>
      <c r="H21" s="11"/>
      <c r="I21" s="11"/>
      <c r="J21" s="11"/>
      <c r="K21" s="11"/>
      <c r="L21" s="11"/>
    </row>
    <row r="22" ht="15.75" customHeight="1">
      <c r="A22" s="12">
        <v>18.0</v>
      </c>
      <c r="B22" s="12" t="s">
        <v>398</v>
      </c>
      <c r="C22" s="12"/>
      <c r="D22" s="12"/>
      <c r="E22" s="12"/>
      <c r="F22" s="12"/>
      <c r="G22" s="12"/>
      <c r="H22" s="12"/>
      <c r="I22" s="12"/>
      <c r="J22" s="12"/>
      <c r="K22" s="12"/>
      <c r="L22" s="12"/>
    </row>
    <row r="23" ht="15.75" customHeight="1">
      <c r="A23" s="11">
        <v>19.0</v>
      </c>
      <c r="B23" s="11" t="s">
        <v>399</v>
      </c>
      <c r="C23" s="11"/>
      <c r="D23" s="11"/>
      <c r="E23" s="11"/>
      <c r="F23" s="11"/>
      <c r="G23" s="11"/>
      <c r="H23" s="11"/>
      <c r="I23" s="11"/>
      <c r="J23" s="11"/>
      <c r="K23" s="11"/>
      <c r="L23" s="11"/>
    </row>
    <row r="24" ht="15.75" customHeight="1">
      <c r="A24" s="12">
        <v>20.0</v>
      </c>
      <c r="B24" s="12" t="s">
        <v>400</v>
      </c>
      <c r="C24" s="12"/>
      <c r="D24" s="12"/>
      <c r="E24" s="12"/>
      <c r="F24" s="12"/>
      <c r="G24" s="12"/>
      <c r="H24" s="12"/>
      <c r="I24" s="12"/>
      <c r="J24" s="12"/>
      <c r="K24" s="12"/>
      <c r="L24" s="12"/>
    </row>
    <row r="25" ht="15.75" customHeight="1">
      <c r="A25" s="11">
        <v>21.0</v>
      </c>
      <c r="B25" s="11" t="s">
        <v>401</v>
      </c>
      <c r="C25" s="11"/>
      <c r="D25" s="11"/>
      <c r="E25" s="11"/>
      <c r="F25" s="11"/>
      <c r="G25" s="11"/>
      <c r="H25" s="11"/>
      <c r="I25" s="11"/>
      <c r="J25" s="11"/>
      <c r="K25" s="11"/>
      <c r="L25" s="11"/>
    </row>
    <row r="26" ht="15.75" customHeight="1">
      <c r="A26" s="12">
        <v>22.0</v>
      </c>
      <c r="B26" s="12" t="s">
        <v>402</v>
      </c>
      <c r="C26" s="12"/>
      <c r="D26" s="12"/>
      <c r="E26" s="12"/>
      <c r="F26" s="12"/>
      <c r="G26" s="12"/>
      <c r="H26" s="12"/>
      <c r="I26" s="12"/>
      <c r="J26" s="12"/>
      <c r="K26" s="12"/>
      <c r="L26" s="12"/>
    </row>
    <row r="27" ht="15.75" customHeight="1">
      <c r="A27" s="11">
        <v>23.0</v>
      </c>
      <c r="B27" s="11" t="s">
        <v>403</v>
      </c>
      <c r="C27" s="11"/>
      <c r="D27" s="11"/>
      <c r="E27" s="11"/>
      <c r="F27" s="11"/>
      <c r="G27" s="11"/>
      <c r="H27" s="11"/>
      <c r="I27" s="11"/>
      <c r="J27" s="11"/>
      <c r="K27" s="11"/>
      <c r="L27" s="11"/>
    </row>
    <row r="28" ht="15.75" customHeight="1">
      <c r="A28" s="12">
        <v>24.0</v>
      </c>
      <c r="B28" s="12" t="s">
        <v>404</v>
      </c>
      <c r="C28" s="12"/>
      <c r="D28" s="12"/>
      <c r="E28" s="12"/>
      <c r="F28" s="12"/>
      <c r="G28" s="12"/>
      <c r="H28" s="12"/>
      <c r="I28" s="12"/>
      <c r="J28" s="12"/>
      <c r="K28" s="12"/>
      <c r="L28" s="12"/>
    </row>
    <row r="29" ht="15.75" customHeight="1">
      <c r="A29" s="11">
        <v>25.0</v>
      </c>
      <c r="B29" s="11" t="s">
        <v>405</v>
      </c>
      <c r="C29" s="11"/>
      <c r="D29" s="11"/>
      <c r="E29" s="11"/>
      <c r="F29" s="11"/>
      <c r="G29" s="11"/>
      <c r="H29" s="11"/>
      <c r="I29" s="11"/>
      <c r="J29" s="11"/>
      <c r="K29" s="11"/>
      <c r="L29" s="11"/>
    </row>
    <row r="30" ht="15.75" customHeight="1">
      <c r="A30" s="12">
        <v>26.0</v>
      </c>
      <c r="B30" s="12" t="s">
        <v>406</v>
      </c>
      <c r="C30" s="12"/>
      <c r="D30" s="12"/>
      <c r="E30" s="12"/>
      <c r="F30" s="12"/>
      <c r="G30" s="12"/>
      <c r="H30" s="12"/>
      <c r="I30" s="12"/>
      <c r="J30" s="12"/>
      <c r="K30" s="12"/>
      <c r="L30" s="12"/>
    </row>
    <row r="31" ht="15.75" customHeight="1">
      <c r="A31" s="11">
        <v>27.0</v>
      </c>
      <c r="B31" s="11" t="s">
        <v>407</v>
      </c>
      <c r="C31" s="11"/>
      <c r="D31" s="11"/>
      <c r="E31" s="11"/>
      <c r="F31" s="11"/>
      <c r="G31" s="11"/>
      <c r="H31" s="11"/>
      <c r="I31" s="11"/>
      <c r="J31" s="11"/>
      <c r="K31" s="11"/>
      <c r="L31" s="11"/>
    </row>
    <row r="32" ht="15.75" customHeight="1">
      <c r="A32" s="12">
        <v>28.0</v>
      </c>
      <c r="B32" s="12" t="s">
        <v>408</v>
      </c>
      <c r="C32" s="12"/>
      <c r="D32" s="12"/>
      <c r="E32" s="12"/>
      <c r="F32" s="12"/>
      <c r="G32" s="12"/>
      <c r="H32" s="12"/>
      <c r="I32" s="12"/>
      <c r="J32" s="12"/>
      <c r="K32" s="12"/>
      <c r="L32" s="12"/>
    </row>
    <row r="33" ht="15.75" customHeight="1">
      <c r="A33" s="11">
        <v>29.0</v>
      </c>
      <c r="B33" s="11" t="s">
        <v>409</v>
      </c>
      <c r="C33" s="11"/>
      <c r="D33" s="11"/>
      <c r="E33" s="11"/>
      <c r="F33" s="11"/>
      <c r="G33" s="11"/>
      <c r="H33" s="11"/>
      <c r="I33" s="11"/>
      <c r="J33" s="11"/>
      <c r="K33" s="11"/>
      <c r="L33" s="11"/>
    </row>
    <row r="34" ht="15.75" customHeight="1">
      <c r="A34" s="12">
        <v>30.0</v>
      </c>
      <c r="B34" s="12" t="s">
        <v>410</v>
      </c>
      <c r="C34" s="12"/>
      <c r="D34" s="12"/>
      <c r="E34" s="12"/>
      <c r="F34" s="12"/>
      <c r="G34" s="12"/>
      <c r="H34" s="12"/>
      <c r="I34" s="12"/>
      <c r="J34" s="12"/>
      <c r="K34" s="12"/>
      <c r="L34" s="12"/>
    </row>
    <row r="35" ht="15.75" customHeight="1">
      <c r="A35" s="11">
        <v>31.0</v>
      </c>
      <c r="B35" s="11" t="s">
        <v>411</v>
      </c>
      <c r="C35" s="11"/>
      <c r="D35" s="11"/>
      <c r="E35" s="11"/>
      <c r="F35" s="11"/>
      <c r="G35" s="11"/>
      <c r="H35" s="11"/>
      <c r="I35" s="11"/>
      <c r="J35" s="11"/>
      <c r="K35" s="11"/>
      <c r="L35" s="11"/>
    </row>
    <row r="36" ht="15.75" customHeight="1"/>
    <row r="37" ht="15.75" customHeight="1">
      <c r="A37" s="20" t="s">
        <v>412</v>
      </c>
    </row>
    <row r="38" ht="15.75" customHeight="1">
      <c r="A38" s="33" t="s">
        <v>379</v>
      </c>
      <c r="B38" s="22" t="s">
        <v>413</v>
      </c>
    </row>
    <row r="39" ht="15.75" customHeight="1">
      <c r="A39" s="34" t="s">
        <v>414</v>
      </c>
      <c r="B39" s="22" t="s">
        <v>415</v>
      </c>
    </row>
    <row r="40" ht="15.75" customHeight="1">
      <c r="A40" s="35" t="s">
        <v>416</v>
      </c>
      <c r="B40" s="22" t="s">
        <v>417</v>
      </c>
    </row>
    <row r="41" ht="15.75" customHeight="1">
      <c r="A41" s="36" t="s">
        <v>418</v>
      </c>
      <c r="B41" s="22" t="s">
        <v>419</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F5:F35">
    <cfRule type="cellIs" dxfId="2" priority="1" operator="equal">
      <formula>"Nghiêm trọng"</formula>
    </cfRule>
  </conditionalFormatting>
  <conditionalFormatting sqref="F5:F35">
    <cfRule type="cellIs" dxfId="4" priority="2" operator="equal">
      <formula>"Cao"</formula>
    </cfRule>
  </conditionalFormatting>
  <conditionalFormatting sqref="F5:F35">
    <cfRule type="cellIs" dxfId="1" priority="3" operator="equal">
      <formula>"Trung bình"</formula>
    </cfRule>
  </conditionalFormatting>
  <conditionalFormatting sqref="F5:F35">
    <cfRule type="cellIs" dxfId="0" priority="4" operator="equal">
      <formula>"Thấp"</formula>
    </cfRule>
  </conditionalFormatting>
  <conditionalFormatting sqref="K5:K35">
    <cfRule type="cellIs" dxfId="0" priority="5" operator="equal">
      <formula>"Hoàn thành"</formula>
    </cfRule>
  </conditionalFormatting>
  <conditionalFormatting sqref="K5:K35">
    <cfRule type="cellIs" dxfId="1" priority="6" operator="equal">
      <formula>"Đang làm"</formula>
    </cfRule>
  </conditionalFormatting>
  <conditionalFormatting sqref="K5:K35">
    <cfRule type="cellIs" dxfId="2" priority="7" operator="equal">
      <formula>"Bị kẹt"</formula>
    </cfRule>
  </conditionalFormatting>
  <conditionalFormatting sqref="K5:K35">
    <cfRule type="cellIs" dxfId="3" priority="8" operator="equal">
      <formula>"Chưa bắt đầu"</formula>
    </cfRule>
  </conditionalFormatting>
  <conditionalFormatting sqref="G5:G35">
    <cfRule type="cellIs" dxfId="2" priority="9" operator="equal">
      <formula>"P0"</formula>
    </cfRule>
  </conditionalFormatting>
  <conditionalFormatting sqref="G5:G35">
    <cfRule type="cellIs" dxfId="1" priority="10" operator="equal">
      <formula>"P1"</formula>
    </cfRule>
  </conditionalFormatting>
  <dataValidations>
    <dataValidation type="list" allowBlank="1" sqref="F5:F35">
      <formula1>"Nghiêm trọng,Cao,Trung bình,Thấp"</formula1>
    </dataValidation>
    <dataValidation type="list" allowBlank="1" sqref="K5:K35">
      <formula1>"Mở,Đang sửa,Đang kiểm thử,Đã sửa,Không sửa,Lặp lại"</formula1>
    </dataValidation>
    <dataValidation type="list" allowBlank="1" sqref="G5:G35">
      <formula1>"P0,P1,P2,P3"</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5.0"/>
    <col customWidth="1" min="3" max="3" width="32.0"/>
    <col customWidth="1" min="4" max="5" width="35.0"/>
    <col customWidth="1" min="6" max="6" width="18.0"/>
    <col customWidth="1" min="7" max="7" width="14.0"/>
    <col customWidth="1" min="8" max="8" width="16.0"/>
    <col customWidth="1" min="9" max="26" width="8.71"/>
  </cols>
  <sheetData>
    <row r="1">
      <c r="A1" s="1" t="s">
        <v>420</v>
      </c>
    </row>
    <row r="2">
      <c r="A2" s="2" t="s">
        <v>421</v>
      </c>
    </row>
    <row r="4">
      <c r="A4" s="10" t="s">
        <v>57</v>
      </c>
      <c r="B4" s="10" t="s">
        <v>58</v>
      </c>
      <c r="C4" s="10" t="s">
        <v>422</v>
      </c>
      <c r="D4" s="10" t="s">
        <v>136</v>
      </c>
      <c r="E4" s="10" t="s">
        <v>423</v>
      </c>
      <c r="F4" s="10" t="s">
        <v>424</v>
      </c>
      <c r="G4" s="10" t="s">
        <v>321</v>
      </c>
      <c r="H4" s="10" t="s">
        <v>425</v>
      </c>
    </row>
    <row r="5">
      <c r="A5" s="15"/>
      <c r="B5" s="16" t="s">
        <v>426</v>
      </c>
      <c r="C5" s="5"/>
      <c r="D5" s="5"/>
      <c r="E5" s="5"/>
      <c r="F5" s="5"/>
      <c r="G5" s="5"/>
      <c r="H5" s="6"/>
    </row>
    <row r="6">
      <c r="A6" s="11">
        <v>1.0</v>
      </c>
      <c r="B6" s="17"/>
      <c r="C6" s="11" t="s">
        <v>427</v>
      </c>
      <c r="D6" s="11" t="s">
        <v>428</v>
      </c>
      <c r="E6" s="18" t="s">
        <v>65</v>
      </c>
      <c r="F6" s="18" t="s">
        <v>68</v>
      </c>
      <c r="G6" s="17"/>
      <c r="H6" s="17"/>
    </row>
    <row r="7">
      <c r="A7" s="11">
        <v>2.0</v>
      </c>
      <c r="B7" s="17"/>
      <c r="C7" s="11" t="s">
        <v>429</v>
      </c>
      <c r="D7" s="11" t="s">
        <v>430</v>
      </c>
      <c r="E7" s="18" t="s">
        <v>65</v>
      </c>
      <c r="F7" s="18" t="s">
        <v>68</v>
      </c>
      <c r="G7" s="17"/>
      <c r="H7" s="17"/>
    </row>
    <row r="8">
      <c r="A8" s="11">
        <v>3.0</v>
      </c>
      <c r="B8" s="17"/>
      <c r="C8" s="11" t="s">
        <v>431</v>
      </c>
      <c r="D8" s="11" t="s">
        <v>432</v>
      </c>
      <c r="E8" s="18" t="s">
        <v>65</v>
      </c>
      <c r="F8" s="18" t="s">
        <v>68</v>
      </c>
      <c r="G8" s="17"/>
      <c r="H8" s="17"/>
    </row>
    <row r="9">
      <c r="A9" s="15"/>
      <c r="B9" s="16" t="s">
        <v>433</v>
      </c>
      <c r="C9" s="5"/>
      <c r="D9" s="5"/>
      <c r="E9" s="5"/>
      <c r="F9" s="5"/>
      <c r="G9" s="5"/>
      <c r="H9" s="6"/>
    </row>
    <row r="10">
      <c r="A10" s="11">
        <v>4.0</v>
      </c>
      <c r="B10" s="17"/>
      <c r="C10" s="11" t="s">
        <v>75</v>
      </c>
      <c r="D10" s="11" t="s">
        <v>434</v>
      </c>
      <c r="E10" s="18" t="s">
        <v>65</v>
      </c>
      <c r="F10" s="18" t="s">
        <v>68</v>
      </c>
      <c r="G10" s="17"/>
      <c r="H10" s="17"/>
    </row>
    <row r="11">
      <c r="A11" s="11">
        <v>5.0</v>
      </c>
      <c r="B11" s="17"/>
      <c r="C11" s="11" t="s">
        <v>435</v>
      </c>
      <c r="D11" s="11" t="s">
        <v>436</v>
      </c>
      <c r="E11" s="18" t="s">
        <v>65</v>
      </c>
      <c r="F11" s="18" t="s">
        <v>68</v>
      </c>
      <c r="G11" s="17"/>
      <c r="H11" s="17"/>
    </row>
    <row r="12">
      <c r="A12" s="11">
        <v>6.0</v>
      </c>
      <c r="B12" s="17"/>
      <c r="C12" s="11" t="s">
        <v>79</v>
      </c>
      <c r="D12" s="11" t="s">
        <v>437</v>
      </c>
      <c r="E12" s="18" t="s">
        <v>65</v>
      </c>
      <c r="F12" s="18" t="s">
        <v>68</v>
      </c>
      <c r="G12" s="17"/>
      <c r="H12" s="17"/>
    </row>
    <row r="13">
      <c r="A13" s="11">
        <v>7.0</v>
      </c>
      <c r="B13" s="17"/>
      <c r="C13" s="11" t="s">
        <v>81</v>
      </c>
      <c r="D13" s="11" t="s">
        <v>438</v>
      </c>
      <c r="E13" s="18" t="s">
        <v>65</v>
      </c>
      <c r="F13" s="18" t="s">
        <v>68</v>
      </c>
      <c r="G13" s="17"/>
      <c r="H13" s="17"/>
    </row>
    <row r="14">
      <c r="A14" s="11">
        <v>8.0</v>
      </c>
      <c r="B14" s="17"/>
      <c r="C14" s="11" t="s">
        <v>439</v>
      </c>
      <c r="D14" s="11" t="s">
        <v>440</v>
      </c>
      <c r="E14" s="18" t="s">
        <v>65</v>
      </c>
      <c r="F14" s="18" t="s">
        <v>68</v>
      </c>
      <c r="G14" s="17"/>
      <c r="H14" s="17"/>
    </row>
    <row r="15">
      <c r="A15" s="15"/>
      <c r="B15" s="16" t="s">
        <v>441</v>
      </c>
      <c r="C15" s="5"/>
      <c r="D15" s="5"/>
      <c r="E15" s="5"/>
      <c r="F15" s="5"/>
      <c r="G15" s="5"/>
      <c r="H15" s="6"/>
    </row>
    <row r="16">
      <c r="A16" s="11">
        <v>9.0</v>
      </c>
      <c r="B16" s="17"/>
      <c r="C16" s="11" t="s">
        <v>87</v>
      </c>
      <c r="D16" s="11" t="s">
        <v>442</v>
      </c>
      <c r="E16" s="18" t="s">
        <v>65</v>
      </c>
      <c r="F16" s="18" t="s">
        <v>68</v>
      </c>
      <c r="G16" s="17"/>
      <c r="H16" s="17"/>
    </row>
    <row r="17">
      <c r="A17" s="11">
        <v>10.0</v>
      </c>
      <c r="B17" s="17"/>
      <c r="C17" s="11" t="s">
        <v>443</v>
      </c>
      <c r="D17" s="11" t="s">
        <v>444</v>
      </c>
      <c r="E17" s="18" t="s">
        <v>65</v>
      </c>
      <c r="F17" s="18" t="s">
        <v>68</v>
      </c>
      <c r="G17" s="17"/>
      <c r="H17" s="17"/>
    </row>
    <row r="18">
      <c r="A18" s="11">
        <v>11.0</v>
      </c>
      <c r="B18" s="17"/>
      <c r="C18" s="11" t="s">
        <v>445</v>
      </c>
      <c r="D18" s="11" t="s">
        <v>446</v>
      </c>
      <c r="E18" s="18" t="s">
        <v>65</v>
      </c>
      <c r="F18" s="18" t="s">
        <v>68</v>
      </c>
      <c r="G18" s="17"/>
      <c r="H18" s="17"/>
    </row>
    <row r="19">
      <c r="A19" s="11">
        <v>12.0</v>
      </c>
      <c r="B19" s="17"/>
      <c r="C19" s="11" t="s">
        <v>447</v>
      </c>
      <c r="D19" s="11" t="s">
        <v>448</v>
      </c>
      <c r="E19" s="18" t="s">
        <v>65</v>
      </c>
      <c r="F19" s="18" t="s">
        <v>68</v>
      </c>
      <c r="G19" s="17"/>
      <c r="H19" s="17"/>
    </row>
    <row r="20">
      <c r="A20" s="15"/>
      <c r="B20" s="16" t="s">
        <v>449</v>
      </c>
      <c r="C20" s="5"/>
      <c r="D20" s="5"/>
      <c r="E20" s="5"/>
      <c r="F20" s="5"/>
      <c r="G20" s="5"/>
      <c r="H20" s="6"/>
    </row>
    <row r="21" ht="15.75" customHeight="1">
      <c r="A21" s="11">
        <v>13.0</v>
      </c>
      <c r="B21" s="17"/>
      <c r="C21" s="11" t="s">
        <v>450</v>
      </c>
      <c r="D21" s="11" t="s">
        <v>451</v>
      </c>
      <c r="E21" s="18" t="s">
        <v>65</v>
      </c>
      <c r="F21" s="18" t="s">
        <v>68</v>
      </c>
      <c r="G21" s="17"/>
      <c r="H21" s="17"/>
    </row>
    <row r="22" ht="15.75" customHeight="1">
      <c r="A22" s="11">
        <v>14.0</v>
      </c>
      <c r="B22" s="17"/>
      <c r="C22" s="11" t="s">
        <v>452</v>
      </c>
      <c r="D22" s="11" t="s">
        <v>453</v>
      </c>
      <c r="E22" s="18" t="s">
        <v>65</v>
      </c>
      <c r="F22" s="18" t="s">
        <v>68</v>
      </c>
      <c r="G22" s="17"/>
      <c r="H22" s="17"/>
    </row>
    <row r="23" ht="15.75" customHeight="1">
      <c r="A23" s="11">
        <v>15.0</v>
      </c>
      <c r="B23" s="17"/>
      <c r="C23" s="11" t="s">
        <v>454</v>
      </c>
      <c r="D23" s="11" t="s">
        <v>455</v>
      </c>
      <c r="E23" s="18" t="s">
        <v>65</v>
      </c>
      <c r="F23" s="18" t="s">
        <v>68</v>
      </c>
      <c r="G23" s="17"/>
      <c r="H23" s="17"/>
    </row>
    <row r="24" ht="15.75" customHeight="1">
      <c r="A24" s="11">
        <v>16.0</v>
      </c>
      <c r="B24" s="17"/>
      <c r="C24" s="11" t="s">
        <v>456</v>
      </c>
      <c r="D24" s="11" t="s">
        <v>457</v>
      </c>
      <c r="E24" s="18" t="s">
        <v>65</v>
      </c>
      <c r="F24" s="18" t="s">
        <v>68</v>
      </c>
      <c r="G24" s="17"/>
      <c r="H24" s="17"/>
    </row>
    <row r="25" ht="15.75" customHeight="1">
      <c r="A25" s="15"/>
      <c r="B25" s="16" t="s">
        <v>458</v>
      </c>
      <c r="C25" s="5"/>
      <c r="D25" s="5"/>
      <c r="E25" s="5"/>
      <c r="F25" s="5"/>
      <c r="G25" s="5"/>
      <c r="H25" s="6"/>
    </row>
    <row r="26" ht="15.75" customHeight="1">
      <c r="A26" s="11">
        <v>17.0</v>
      </c>
      <c r="B26" s="17"/>
      <c r="C26" s="11" t="s">
        <v>459</v>
      </c>
      <c r="D26" s="11" t="s">
        <v>460</v>
      </c>
      <c r="E26" s="18" t="s">
        <v>65</v>
      </c>
      <c r="F26" s="18" t="s">
        <v>68</v>
      </c>
      <c r="G26" s="17"/>
      <c r="H26" s="17"/>
    </row>
    <row r="27" ht="15.75" customHeight="1">
      <c r="A27" s="11">
        <v>18.0</v>
      </c>
      <c r="B27" s="17"/>
      <c r="C27" s="11" t="s">
        <v>461</v>
      </c>
      <c r="D27" s="11" t="s">
        <v>462</v>
      </c>
      <c r="E27" s="18" t="s">
        <v>65</v>
      </c>
      <c r="F27" s="18" t="s">
        <v>68</v>
      </c>
      <c r="G27" s="17"/>
      <c r="H27" s="17"/>
    </row>
    <row r="28" ht="15.75" customHeight="1">
      <c r="A28" s="11">
        <v>19.0</v>
      </c>
      <c r="B28" s="17"/>
      <c r="C28" s="11" t="s">
        <v>463</v>
      </c>
      <c r="D28" s="11" t="s">
        <v>464</v>
      </c>
      <c r="E28" s="18" t="s">
        <v>65</v>
      </c>
      <c r="F28" s="18" t="s">
        <v>68</v>
      </c>
      <c r="G28" s="17"/>
      <c r="H28" s="17"/>
    </row>
    <row r="29" ht="15.75" customHeight="1">
      <c r="A29" s="11">
        <v>20.0</v>
      </c>
      <c r="B29" s="17"/>
      <c r="C29" s="17"/>
      <c r="D29" s="17"/>
      <c r="E29" s="17"/>
      <c r="F29" s="17"/>
      <c r="G29" s="17"/>
      <c r="H29" s="17"/>
    </row>
    <row r="30" ht="15.75" customHeight="1">
      <c r="A30" s="11">
        <v>21.0</v>
      </c>
      <c r="B30" s="17"/>
      <c r="C30" s="17"/>
      <c r="D30" s="17"/>
      <c r="E30" s="17"/>
      <c r="F30" s="17"/>
      <c r="G30" s="17"/>
      <c r="H30" s="17"/>
    </row>
    <row r="31" ht="15.75" customHeight="1">
      <c r="A31" s="11">
        <v>22.0</v>
      </c>
      <c r="B31" s="17"/>
      <c r="C31" s="17"/>
      <c r="D31" s="17"/>
      <c r="E31" s="17"/>
      <c r="F31" s="17"/>
      <c r="G31" s="17"/>
      <c r="H31" s="1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B5:H5"/>
    <mergeCell ref="B9:H9"/>
    <mergeCell ref="B15:H15"/>
    <mergeCell ref="B20:H20"/>
    <mergeCell ref="B25:H2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30.0"/>
    <col customWidth="1" min="3" max="5" width="20.0"/>
    <col customWidth="1" min="6" max="26" width="8.71"/>
  </cols>
  <sheetData>
    <row r="1">
      <c r="A1" s="1" t="s">
        <v>465</v>
      </c>
    </row>
    <row r="2">
      <c r="A2" s="2" t="s">
        <v>466</v>
      </c>
    </row>
    <row r="4">
      <c r="A4" s="27" t="s">
        <v>467</v>
      </c>
      <c r="B4" s="5"/>
      <c r="C4" s="5"/>
      <c r="D4" s="5"/>
      <c r="E4" s="6"/>
    </row>
    <row r="5" ht="19.5" customHeight="1">
      <c r="A5" s="28" t="s">
        <v>468</v>
      </c>
      <c r="B5" s="30" t="s">
        <v>469</v>
      </c>
      <c r="C5" s="5"/>
      <c r="D5" s="5"/>
      <c r="E5" s="6"/>
    </row>
    <row r="6" ht="54.0" customHeight="1">
      <c r="A6" s="28" t="s">
        <v>470</v>
      </c>
      <c r="B6" s="30" t="s">
        <v>471</v>
      </c>
      <c r="C6" s="5"/>
      <c r="D6" s="5"/>
      <c r="E6" s="6"/>
    </row>
    <row r="7" ht="72.0" customHeight="1">
      <c r="A7" s="28" t="s">
        <v>472</v>
      </c>
      <c r="B7" s="30" t="s">
        <v>473</v>
      </c>
      <c r="C7" s="5"/>
      <c r="D7" s="5"/>
      <c r="E7" s="6"/>
    </row>
    <row r="9">
      <c r="A9" s="27" t="s">
        <v>474</v>
      </c>
      <c r="B9" s="5"/>
      <c r="C9" s="5"/>
      <c r="D9" s="5"/>
      <c r="E9" s="6"/>
    </row>
    <row r="10" ht="72.0" customHeight="1">
      <c r="A10" s="28" t="s">
        <v>475</v>
      </c>
      <c r="B10" s="30" t="s">
        <v>476</v>
      </c>
      <c r="C10" s="5"/>
      <c r="D10" s="5"/>
      <c r="E10" s="6"/>
    </row>
    <row r="11" ht="54.0" customHeight="1">
      <c r="A11" s="28" t="s">
        <v>477</v>
      </c>
      <c r="B11" s="30" t="s">
        <v>478</v>
      </c>
      <c r="C11" s="5"/>
      <c r="D11" s="5"/>
      <c r="E11" s="6"/>
    </row>
    <row r="12" ht="54.0" customHeight="1">
      <c r="A12" s="28" t="s">
        <v>479</v>
      </c>
      <c r="B12" s="30" t="s">
        <v>480</v>
      </c>
      <c r="C12" s="5"/>
      <c r="D12" s="5"/>
      <c r="E12" s="6"/>
    </row>
    <row r="13" ht="54.0" customHeight="1">
      <c r="A13" s="28" t="s">
        <v>481</v>
      </c>
      <c r="B13" s="30" t="s">
        <v>482</v>
      </c>
      <c r="C13" s="5"/>
      <c r="D13" s="5"/>
      <c r="E13" s="6"/>
    </row>
    <row r="14" ht="54.0" customHeight="1">
      <c r="A14" s="28" t="s">
        <v>483</v>
      </c>
      <c r="B14" s="30" t="s">
        <v>484</v>
      </c>
      <c r="C14" s="5"/>
      <c r="D14" s="5"/>
      <c r="E14" s="6"/>
    </row>
    <row r="15" ht="72.0" customHeight="1">
      <c r="A15" s="28" t="s">
        <v>485</v>
      </c>
      <c r="B15" s="30" t="s">
        <v>486</v>
      </c>
      <c r="C15" s="5"/>
      <c r="D15" s="5"/>
      <c r="E15" s="6"/>
    </row>
    <row r="16" ht="54.0" customHeight="1">
      <c r="A16" s="28" t="s">
        <v>487</v>
      </c>
      <c r="B16" s="30" t="s">
        <v>488</v>
      </c>
      <c r="C16" s="5"/>
      <c r="D16" s="5"/>
      <c r="E16" s="6"/>
    </row>
    <row r="17" ht="72.0" customHeight="1">
      <c r="A17" s="28" t="s">
        <v>489</v>
      </c>
      <c r="B17" s="30" t="s">
        <v>490</v>
      </c>
      <c r="C17" s="5"/>
      <c r="D17" s="5"/>
      <c r="E17" s="6"/>
    </row>
    <row r="18" ht="54.0" customHeight="1">
      <c r="A18" s="28" t="s">
        <v>491</v>
      </c>
      <c r="B18" s="30" t="s">
        <v>492</v>
      </c>
      <c r="C18" s="5"/>
      <c r="D18" s="5"/>
      <c r="E18" s="6"/>
    </row>
    <row r="20">
      <c r="A20" s="27" t="s">
        <v>493</v>
      </c>
      <c r="B20" s="5"/>
      <c r="C20" s="5"/>
      <c r="D20" s="5"/>
      <c r="E20" s="6"/>
    </row>
    <row r="21" ht="19.5" customHeight="1">
      <c r="A21" s="28" t="s">
        <v>494</v>
      </c>
      <c r="B21" s="30" t="s">
        <v>495</v>
      </c>
      <c r="C21" s="5"/>
      <c r="D21" s="5"/>
      <c r="E21" s="6"/>
    </row>
    <row r="22" ht="72.0" customHeight="1">
      <c r="A22" s="28" t="s">
        <v>496</v>
      </c>
      <c r="B22" s="30" t="s">
        <v>497</v>
      </c>
      <c r="C22" s="5"/>
      <c r="D22" s="5"/>
      <c r="E22" s="6"/>
    </row>
    <row r="23" ht="19.5" customHeight="1">
      <c r="A23" s="28" t="s">
        <v>498</v>
      </c>
      <c r="B23" s="30" t="s">
        <v>499</v>
      </c>
      <c r="C23" s="5"/>
      <c r="D23" s="5"/>
      <c r="E23" s="6"/>
    </row>
    <row r="24" ht="19.5" customHeight="1">
      <c r="A24" s="28" t="s">
        <v>500</v>
      </c>
      <c r="B24" s="30" t="s">
        <v>501</v>
      </c>
      <c r="C24" s="5"/>
      <c r="D24" s="5"/>
      <c r="E24" s="6"/>
    </row>
    <row r="25" ht="72.0" customHeight="1">
      <c r="A25" s="28" t="s">
        <v>502</v>
      </c>
      <c r="B25" s="30" t="s">
        <v>503</v>
      </c>
      <c r="C25" s="5"/>
      <c r="D25" s="5"/>
      <c r="E25" s="6"/>
    </row>
    <row r="26" ht="15.75" customHeight="1"/>
    <row r="27" ht="15.75" customHeight="1">
      <c r="A27" s="27" t="s">
        <v>504</v>
      </c>
      <c r="B27" s="5"/>
      <c r="C27" s="5"/>
      <c r="D27" s="5"/>
      <c r="E27" s="6"/>
    </row>
    <row r="28" ht="19.5" customHeight="1">
      <c r="A28" s="28" t="s">
        <v>505</v>
      </c>
      <c r="B28" s="30" t="s">
        <v>506</v>
      </c>
      <c r="C28" s="5"/>
      <c r="D28" s="5"/>
      <c r="E28" s="6"/>
    </row>
    <row r="29" ht="19.5" customHeight="1">
      <c r="A29" s="28" t="s">
        <v>507</v>
      </c>
      <c r="B29" s="30" t="s">
        <v>508</v>
      </c>
      <c r="C29" s="5"/>
      <c r="D29" s="5"/>
      <c r="E29" s="6"/>
    </row>
    <row r="30" ht="19.5" customHeight="1">
      <c r="A30" s="28" t="s">
        <v>509</v>
      </c>
      <c r="B30" s="30" t="s">
        <v>510</v>
      </c>
      <c r="C30" s="5"/>
      <c r="D30" s="5"/>
      <c r="E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E1"/>
    <mergeCell ref="A2:E2"/>
    <mergeCell ref="A4:E4"/>
    <mergeCell ref="B5:E5"/>
    <mergeCell ref="B6:E6"/>
    <mergeCell ref="B7:E7"/>
    <mergeCell ref="A9:E9"/>
    <mergeCell ref="B10:E10"/>
    <mergeCell ref="B11:E11"/>
    <mergeCell ref="B12:E12"/>
    <mergeCell ref="B13:E13"/>
    <mergeCell ref="B14:E14"/>
    <mergeCell ref="B15:E15"/>
    <mergeCell ref="B16:E16"/>
    <mergeCell ref="B25:E25"/>
    <mergeCell ref="A27:E27"/>
    <mergeCell ref="B28:E28"/>
    <mergeCell ref="B29:E29"/>
    <mergeCell ref="B30:E30"/>
    <mergeCell ref="B17:E17"/>
    <mergeCell ref="B18:E18"/>
    <mergeCell ref="A20:E20"/>
    <mergeCell ref="B21:E21"/>
    <mergeCell ref="B22:E22"/>
    <mergeCell ref="B23:E23"/>
    <mergeCell ref="B24:E24"/>
  </mergeCells>
  <printOptions/>
  <pageMargins bottom="1.0" footer="0.0" header="0.0" left="0.75" right="0.75" top="1.0"/>
  <pageSetup orientation="landscape"/>
  <drawing r:id="rId1"/>
</worksheet>
</file>